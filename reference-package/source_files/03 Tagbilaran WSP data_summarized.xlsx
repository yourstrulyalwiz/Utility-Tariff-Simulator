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zielsalazar/Documents/03 WB/01 PROJECTS/2025-2026 Technical Assistance/02 DD, Business Planning and Tariff Training/05 Due Diligence/02 Data from Province and LGUs/07 summary of collated data/"/>
    </mc:Choice>
  </mc:AlternateContent>
  <xr:revisionPtr revIDLastSave="0" documentId="13_ncr:1_{E252A51F-7D48-3F43-8272-09C29AD73116}" xr6:coauthVersionLast="47" xr6:coauthVersionMax="47" xr10:uidLastSave="{00000000-0000-0000-0000-000000000000}"/>
  <bookViews>
    <workbookView xWindow="0" yWindow="500" windowWidth="28800" windowHeight="16280" xr2:uid="{F75FD463-143D-F344-A2A7-7CAE5FC0C488}"/>
  </bookViews>
  <sheets>
    <sheet name="Tagbilaran summary" sheetId="8" r:id="rId1"/>
    <sheet name="Panglao summary" sheetId="9" state="hidden" r:id="rId2"/>
    <sheet name="Dauis summary" sheetId="13" state="hidden" r:id="rId3"/>
    <sheet name="Tagbilaran bgy details" sheetId="2" r:id="rId4"/>
    <sheet name="Panglao bgy details" sheetId="1" state="hidden" r:id="rId5"/>
    <sheet name="Albur bgy details" sheetId="10" state="hidden" r:id="rId6"/>
    <sheet name="Albur summary" sheetId="11" state="hidden" r:id="rId7"/>
    <sheet name="Dauis bgy details" sheetId="12" state="hidden" r:id="rId8"/>
    <sheet name="calculations" sheetId="3" state="hidden" r:id="rId9"/>
    <sheet name="dauis data" sheetId="7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1" l="1"/>
  <c r="C8" i="11"/>
  <c r="I17" i="9"/>
  <c r="I16" i="9"/>
  <c r="H16" i="9"/>
  <c r="D16" i="3"/>
  <c r="AF15" i="3"/>
  <c r="AF17" i="3" s="1"/>
  <c r="AF7" i="3"/>
  <c r="AF9" i="3"/>
  <c r="W6" i="3"/>
  <c r="N6" i="3"/>
  <c r="C18" i="13" l="1"/>
  <c r="C17" i="13"/>
  <c r="AE15" i="3"/>
  <c r="C16" i="13"/>
  <c r="C21" i="13" s="1"/>
  <c r="AE14" i="3"/>
  <c r="AE18" i="3"/>
  <c r="F103" i="7"/>
  <c r="AE10" i="3"/>
  <c r="AE6" i="3"/>
  <c r="AF6" i="3" s="1"/>
  <c r="F105" i="7"/>
  <c r="C81" i="7"/>
  <c r="Q4" i="12"/>
  <c r="Y4" i="12" s="1"/>
  <c r="R4" i="12"/>
  <c r="Z4" i="12" s="1"/>
  <c r="S4" i="12"/>
  <c r="AA4" i="12" s="1"/>
  <c r="T4" i="12"/>
  <c r="AB4" i="12" s="1"/>
  <c r="U4" i="12"/>
  <c r="AC4" i="12" s="1"/>
  <c r="V4" i="12"/>
  <c r="AD4" i="12" s="1"/>
  <c r="W4" i="12"/>
  <c r="AE4" i="12" s="1"/>
  <c r="AF11" i="3" l="1"/>
  <c r="AF19" i="3"/>
  <c r="AF14" i="3"/>
  <c r="P16" i="12"/>
  <c r="P15" i="12"/>
  <c r="P14" i="12"/>
  <c r="P13" i="12"/>
  <c r="P12" i="12"/>
  <c r="P10" i="12"/>
  <c r="P9" i="12"/>
  <c r="P8" i="12"/>
  <c r="P7" i="12"/>
  <c r="P6" i="12"/>
  <c r="AE129" i="3"/>
  <c r="AE131" i="3"/>
  <c r="AE134" i="3" s="1"/>
  <c r="AE122" i="3"/>
  <c r="AE123" i="3" s="1"/>
  <c r="AC24" i="12"/>
  <c r="AD24" i="12"/>
  <c r="AE24" i="12"/>
  <c r="AF24" i="12"/>
  <c r="AG24" i="12"/>
  <c r="AH24" i="12"/>
  <c r="U24" i="12"/>
  <c r="V24" i="12"/>
  <c r="W24" i="12"/>
  <c r="X24" i="12"/>
  <c r="Y24" i="12"/>
  <c r="Z24" i="12"/>
  <c r="AE110" i="3"/>
  <c r="AE111" i="3" s="1"/>
  <c r="AE114" i="3" s="1"/>
  <c r="S6" i="12"/>
  <c r="S5" i="12"/>
  <c r="C93" i="7"/>
  <c r="C72" i="7"/>
  <c r="D108" i="7"/>
  <c r="D109" i="7" s="1"/>
  <c r="E108" i="7"/>
  <c r="E109" i="7" s="1"/>
  <c r="C108" i="7"/>
  <c r="C109" i="7"/>
  <c r="E35" i="7"/>
  <c r="AC31" i="12"/>
  <c r="AC37" i="12" s="1"/>
  <c r="U31" i="12"/>
  <c r="L31" i="12"/>
  <c r="E105" i="7"/>
  <c r="C105" i="7"/>
  <c r="E102" i="7"/>
  <c r="D102" i="7"/>
  <c r="D103" i="7" s="1"/>
  <c r="C102" i="7"/>
  <c r="C106" i="7" s="1"/>
  <c r="E81" i="7"/>
  <c r="E69" i="7"/>
  <c r="E116" i="7" s="1"/>
  <c r="D69" i="7"/>
  <c r="D116" i="7" s="1"/>
  <c r="C116" i="7"/>
  <c r="D118" i="7"/>
  <c r="E118" i="7"/>
  <c r="D119" i="7"/>
  <c r="E119" i="7"/>
  <c r="D120" i="7"/>
  <c r="E120" i="7"/>
  <c r="D122" i="7"/>
  <c r="E122" i="7"/>
  <c r="D124" i="7"/>
  <c r="E124" i="7"/>
  <c r="D125" i="7"/>
  <c r="E125" i="7"/>
  <c r="D126" i="7"/>
  <c r="E126" i="7"/>
  <c r="D127" i="7"/>
  <c r="E127" i="7"/>
  <c r="F127" i="7"/>
  <c r="C119" i="7"/>
  <c r="C120" i="7"/>
  <c r="C122" i="7"/>
  <c r="C124" i="7"/>
  <c r="C125" i="7"/>
  <c r="C126" i="7"/>
  <c r="C127" i="7"/>
  <c r="E103" i="7"/>
  <c r="F100" i="7"/>
  <c r="F99" i="7"/>
  <c r="F98" i="7"/>
  <c r="F96" i="7"/>
  <c r="F94" i="7"/>
  <c r="F93" i="7"/>
  <c r="F92" i="7"/>
  <c r="F90" i="7"/>
  <c r="F102" i="7" s="1"/>
  <c r="F88" i="7"/>
  <c r="E59" i="7"/>
  <c r="F79" i="7"/>
  <c r="F78" i="7"/>
  <c r="F77" i="7"/>
  <c r="F75" i="7"/>
  <c r="F73" i="7"/>
  <c r="F72" i="7"/>
  <c r="G30" i="7"/>
  <c r="G25" i="7"/>
  <c r="G49" i="7" s="1"/>
  <c r="G58" i="7"/>
  <c r="G56" i="7"/>
  <c r="G52" i="7"/>
  <c r="G50" i="7"/>
  <c r="E62" i="7"/>
  <c r="D62" i="7"/>
  <c r="C62" i="7"/>
  <c r="E61" i="7"/>
  <c r="D61" i="7"/>
  <c r="C61" i="7"/>
  <c r="E60" i="7"/>
  <c r="D60" i="7"/>
  <c r="C60" i="7"/>
  <c r="D59" i="7"/>
  <c r="C59" i="7"/>
  <c r="E58" i="7"/>
  <c r="D58" i="7"/>
  <c r="C58" i="7"/>
  <c r="E57" i="7"/>
  <c r="D57" i="7"/>
  <c r="C57" i="7"/>
  <c r="E56" i="7"/>
  <c r="D56" i="7"/>
  <c r="C56" i="7"/>
  <c r="E55" i="7"/>
  <c r="D55" i="7"/>
  <c r="C55" i="7"/>
  <c r="E54" i="7"/>
  <c r="D54" i="7"/>
  <c r="C54" i="7"/>
  <c r="D53" i="7"/>
  <c r="C71" i="7" s="1"/>
  <c r="C53" i="7"/>
  <c r="E52" i="7"/>
  <c r="D52" i="7"/>
  <c r="C52" i="7"/>
  <c r="E51" i="7"/>
  <c r="D51" i="7"/>
  <c r="C51" i="7"/>
  <c r="E50" i="7"/>
  <c r="D50" i="7"/>
  <c r="C50" i="7"/>
  <c r="E49" i="7"/>
  <c r="D49" i="7"/>
  <c r="C49" i="7"/>
  <c r="G10" i="7"/>
  <c r="G5" i="7"/>
  <c r="G38" i="7"/>
  <c r="G62" i="7" s="1"/>
  <c r="G37" i="7"/>
  <c r="G61" i="7" s="1"/>
  <c r="G36" i="7"/>
  <c r="G35" i="7"/>
  <c r="G33" i="7"/>
  <c r="G31" i="7"/>
  <c r="G27" i="7"/>
  <c r="G18" i="7"/>
  <c r="G17" i="7"/>
  <c r="G16" i="7"/>
  <c r="G15" i="7"/>
  <c r="G13" i="7"/>
  <c r="G11" i="7"/>
  <c r="G7" i="7"/>
  <c r="D20" i="7"/>
  <c r="C20" i="7"/>
  <c r="D40" i="7"/>
  <c r="D42" i="7" s="1"/>
  <c r="C40" i="7"/>
  <c r="S14" i="12"/>
  <c r="T16" i="12"/>
  <c r="T15" i="12"/>
  <c r="T14" i="12"/>
  <c r="T13" i="12"/>
  <c r="T12" i="12"/>
  <c r="T11" i="12"/>
  <c r="T10" i="12"/>
  <c r="T9" i="12"/>
  <c r="T7" i="12"/>
  <c r="S16" i="12"/>
  <c r="S15" i="12"/>
  <c r="S13" i="12"/>
  <c r="S12" i="12"/>
  <c r="S11" i="12"/>
  <c r="S10" i="12"/>
  <c r="S9" i="12"/>
  <c r="S8" i="12"/>
  <c r="S7" i="12"/>
  <c r="U16" i="12"/>
  <c r="U15" i="12"/>
  <c r="U14" i="12"/>
  <c r="U13" i="12"/>
  <c r="U11" i="12"/>
  <c r="U10" i="12"/>
  <c r="U9" i="12"/>
  <c r="U8" i="12"/>
  <c r="U7" i="12"/>
  <c r="U6" i="12"/>
  <c r="T6" i="12"/>
  <c r="U5" i="12"/>
  <c r="T5" i="12"/>
  <c r="Q7" i="12"/>
  <c r="D21" i="13"/>
  <c r="T8" i="12"/>
  <c r="U12" i="12"/>
  <c r="Q16" i="12"/>
  <c r="Q15" i="12"/>
  <c r="Q14" i="12"/>
  <c r="Q13" i="12"/>
  <c r="Q12" i="12"/>
  <c r="Q11" i="12"/>
  <c r="Q10" i="12"/>
  <c r="Q9" i="12"/>
  <c r="Q8" i="12"/>
  <c r="Q6" i="12"/>
  <c r="Q5" i="12"/>
  <c r="AH37" i="12"/>
  <c r="AG37" i="12"/>
  <c r="AF37" i="12"/>
  <c r="AE37" i="12"/>
  <c r="AD37" i="12"/>
  <c r="AE83" i="3"/>
  <c r="AG74" i="3"/>
  <c r="AG73" i="3"/>
  <c r="P76" i="3"/>
  <c r="O76" i="3"/>
  <c r="Q75" i="3"/>
  <c r="Q73" i="3"/>
  <c r="Q70" i="3"/>
  <c r="Q69" i="3"/>
  <c r="Q68" i="3"/>
  <c r="Q67" i="3"/>
  <c r="Q91" i="3"/>
  <c r="Q89" i="3"/>
  <c r="Q86" i="3"/>
  <c r="Q85" i="3"/>
  <c r="Q84" i="3"/>
  <c r="Q83" i="3"/>
  <c r="P51" i="3"/>
  <c r="P50" i="3"/>
  <c r="AH89" i="3"/>
  <c r="AH88" i="3"/>
  <c r="AH87" i="3"/>
  <c r="AH95" i="3"/>
  <c r="AH94" i="3"/>
  <c r="AH93" i="3"/>
  <c r="AG96" i="3"/>
  <c r="AF96" i="3"/>
  <c r="AH96" i="3" s="1"/>
  <c r="AG90" i="3"/>
  <c r="AF90" i="3"/>
  <c r="AD101" i="3" s="1"/>
  <c r="W34" i="3"/>
  <c r="W35" i="3" s="1"/>
  <c r="W36" i="3" s="1"/>
  <c r="W38" i="3" s="1"/>
  <c r="X40" i="3" s="1"/>
  <c r="D21" i="11"/>
  <c r="W23" i="3"/>
  <c r="W26" i="3" s="1"/>
  <c r="C18" i="11"/>
  <c r="C17" i="11"/>
  <c r="C16" i="11"/>
  <c r="X16" i="3"/>
  <c r="Y13" i="3"/>
  <c r="W13" i="3" s="1"/>
  <c r="Y12" i="3"/>
  <c r="AD102" i="3" l="1"/>
  <c r="P11" i="12"/>
  <c r="L37" i="12"/>
  <c r="AF136" i="3"/>
  <c r="AF134" i="3"/>
  <c r="AF116" i="3"/>
  <c r="AF114" i="3"/>
  <c r="F108" i="7"/>
  <c r="F119" i="7"/>
  <c r="C118" i="7"/>
  <c r="F71" i="7"/>
  <c r="F118" i="7" s="1"/>
  <c r="C83" i="7"/>
  <c r="D81" i="7"/>
  <c r="D105" i="7"/>
  <c r="D106" i="7" s="1"/>
  <c r="G60" i="7"/>
  <c r="C103" i="7"/>
  <c r="C129" i="7"/>
  <c r="F69" i="7"/>
  <c r="G54" i="7"/>
  <c r="C44" i="7"/>
  <c r="G51" i="7"/>
  <c r="F126" i="7"/>
  <c r="F120" i="7"/>
  <c r="F122" i="7"/>
  <c r="G29" i="7"/>
  <c r="G40" i="7" s="1"/>
  <c r="F124" i="7"/>
  <c r="E40" i="7"/>
  <c r="E42" i="7" s="1"/>
  <c r="C41" i="7"/>
  <c r="D41" i="7"/>
  <c r="F125" i="7"/>
  <c r="C42" i="7"/>
  <c r="G55" i="7"/>
  <c r="G57" i="7"/>
  <c r="G59" i="7"/>
  <c r="D44" i="7"/>
  <c r="Q76" i="3"/>
  <c r="N53" i="3" s="1"/>
  <c r="AH90" i="3"/>
  <c r="AE76" i="3" s="1"/>
  <c r="AD100" i="3" s="1"/>
  <c r="N38" i="3" s="1"/>
  <c r="C21" i="11"/>
  <c r="X28" i="3"/>
  <c r="X26" i="3"/>
  <c r="X38" i="3"/>
  <c r="F109" i="7" l="1"/>
  <c r="C131" i="7"/>
  <c r="C84" i="7"/>
  <c r="C133" i="7" s="1"/>
  <c r="F81" i="7"/>
  <c r="H81" i="7" s="1"/>
  <c r="D83" i="7"/>
  <c r="F116" i="7"/>
  <c r="D129" i="7"/>
  <c r="E106" i="7"/>
  <c r="F106" i="7"/>
  <c r="E129" i="7"/>
  <c r="E83" i="7"/>
  <c r="F129" i="7"/>
  <c r="E41" i="7"/>
  <c r="G9" i="7"/>
  <c r="E20" i="7"/>
  <c r="E44" i="7" s="1"/>
  <c r="E53" i="7"/>
  <c r="G42" i="7"/>
  <c r="G41" i="7"/>
  <c r="X13" i="3"/>
  <c r="X9" i="3"/>
  <c r="X6" i="3"/>
  <c r="X5" i="3"/>
  <c r="M14" i="10"/>
  <c r="K5" i="10"/>
  <c r="L5" i="10"/>
  <c r="K6" i="10"/>
  <c r="L6" i="10"/>
  <c r="K7" i="10"/>
  <c r="L7" i="10"/>
  <c r="K8" i="10"/>
  <c r="L8" i="10"/>
  <c r="K9" i="10"/>
  <c r="L9" i="10"/>
  <c r="K10" i="10"/>
  <c r="L10" i="10"/>
  <c r="K11" i="10"/>
  <c r="L11" i="10"/>
  <c r="K12" i="10"/>
  <c r="L12" i="10"/>
  <c r="K13" i="10"/>
  <c r="L13" i="10"/>
  <c r="K14" i="10"/>
  <c r="L14" i="10"/>
  <c r="K15" i="10"/>
  <c r="L15" i="10"/>
  <c r="J6" i="10"/>
  <c r="J7" i="10"/>
  <c r="J8" i="10"/>
  <c r="J9" i="10"/>
  <c r="J10" i="10"/>
  <c r="J11" i="10"/>
  <c r="J12" i="10"/>
  <c r="J13" i="10"/>
  <c r="J14" i="10"/>
  <c r="J15" i="10"/>
  <c r="J5" i="10"/>
  <c r="V35" i="10"/>
  <c r="U35" i="10"/>
  <c r="T35" i="10"/>
  <c r="T25" i="12"/>
  <c r="AB25" i="12" s="1"/>
  <c r="T26" i="12"/>
  <c r="AB26" i="12" s="1"/>
  <c r="T27" i="12"/>
  <c r="AB27" i="12" s="1"/>
  <c r="T28" i="12"/>
  <c r="AB28" i="12" s="1"/>
  <c r="T29" i="12"/>
  <c r="AB29" i="12" s="1"/>
  <c r="T30" i="12"/>
  <c r="AB30" i="12" s="1"/>
  <c r="T31" i="12"/>
  <c r="AB31" i="12" s="1"/>
  <c r="T32" i="12"/>
  <c r="AB32" i="12" s="1"/>
  <c r="T33" i="12"/>
  <c r="AB33" i="12" s="1"/>
  <c r="T34" i="12"/>
  <c r="AB34" i="12" s="1"/>
  <c r="T35" i="12"/>
  <c r="AB35" i="12" s="1"/>
  <c r="T36" i="12"/>
  <c r="AB36" i="12" s="1"/>
  <c r="E11" i="12"/>
  <c r="X11" i="12" s="1"/>
  <c r="E12" i="12"/>
  <c r="E13" i="12"/>
  <c r="E14" i="12"/>
  <c r="E14" i="10"/>
  <c r="O14" i="10" s="1"/>
  <c r="X13" i="12" l="1"/>
  <c r="X14" i="12"/>
  <c r="X12" i="12"/>
  <c r="AC12" i="12"/>
  <c r="E131" i="7"/>
  <c r="E84" i="7"/>
  <c r="E133" i="7" s="1"/>
  <c r="D131" i="7"/>
  <c r="D84" i="7"/>
  <c r="D133" i="7" s="1"/>
  <c r="H80" i="7"/>
  <c r="H82" i="7"/>
  <c r="F83" i="7"/>
  <c r="G20" i="7"/>
  <c r="G44" i="7" s="1"/>
  <c r="G53" i="7"/>
  <c r="X7" i="3"/>
  <c r="X12" i="3"/>
  <c r="X14" i="3" s="1"/>
  <c r="Y13" i="12"/>
  <c r="Y12" i="12"/>
  <c r="N14" i="10"/>
  <c r="F84" i="7" l="1"/>
  <c r="F133" i="7" s="1"/>
  <c r="F131" i="7"/>
  <c r="Q17" i="12"/>
  <c r="S17" i="12"/>
  <c r="T17" i="12"/>
  <c r="U17" i="12"/>
  <c r="V37" i="12"/>
  <c r="W37" i="12"/>
  <c r="X37" i="12"/>
  <c r="Y37" i="12"/>
  <c r="Z37" i="12"/>
  <c r="M37" i="12"/>
  <c r="P37" i="12"/>
  <c r="Q37" i="12"/>
  <c r="R37" i="12"/>
  <c r="P4" i="12"/>
  <c r="X4" i="12" s="1"/>
  <c r="AG4" i="12" s="1"/>
  <c r="AN4" i="12" s="1"/>
  <c r="AU4" i="12" s="1"/>
  <c r="AH4" i="12"/>
  <c r="AO4" i="12" s="1"/>
  <c r="AV4" i="12" s="1"/>
  <c r="AI4" i="12"/>
  <c r="AP4" i="12" s="1"/>
  <c r="AW4" i="12" s="1"/>
  <c r="AJ4" i="12"/>
  <c r="AQ4" i="12" s="1"/>
  <c r="AX4" i="12" s="1"/>
  <c r="AK4" i="12"/>
  <c r="AR4" i="12" s="1"/>
  <c r="AY4" i="12" s="1"/>
  <c r="AL4" i="12"/>
  <c r="AS4" i="12" s="1"/>
  <c r="AZ4" i="12" s="1"/>
  <c r="AM4" i="12"/>
  <c r="AT4" i="12" s="1"/>
  <c r="BA4" i="12" s="1"/>
  <c r="U37" i="12"/>
  <c r="D17" i="12"/>
  <c r="E16" i="12"/>
  <c r="E15" i="12"/>
  <c r="Y14" i="12"/>
  <c r="E10" i="12"/>
  <c r="E9" i="12"/>
  <c r="E8" i="12"/>
  <c r="E7" i="12"/>
  <c r="P17" i="12"/>
  <c r="E6" i="12"/>
  <c r="E5" i="12"/>
  <c r="K16" i="10"/>
  <c r="Q35" i="10"/>
  <c r="P35" i="10"/>
  <c r="O35" i="10"/>
  <c r="L35" i="10"/>
  <c r="K35" i="10"/>
  <c r="J35" i="10"/>
  <c r="D16" i="10"/>
  <c r="E15" i="10"/>
  <c r="N15" i="10" s="1"/>
  <c r="E13" i="10"/>
  <c r="M13" i="10" s="1"/>
  <c r="E12" i="10"/>
  <c r="N12" i="10" s="1"/>
  <c r="E11" i="10"/>
  <c r="N11" i="10" s="1"/>
  <c r="E10" i="10"/>
  <c r="O10" i="10" s="1"/>
  <c r="E9" i="10"/>
  <c r="N9" i="10" s="1"/>
  <c r="E8" i="10"/>
  <c r="O8" i="10" s="1"/>
  <c r="E7" i="10"/>
  <c r="O7" i="10" s="1"/>
  <c r="E6" i="10"/>
  <c r="N6" i="10" s="1"/>
  <c r="E5" i="10"/>
  <c r="M5" i="10" s="1"/>
  <c r="Y7" i="12" l="1"/>
  <c r="X7" i="12"/>
  <c r="Y8" i="12"/>
  <c r="X8" i="12"/>
  <c r="AB8" i="12"/>
  <c r="X6" i="12"/>
  <c r="X15" i="12"/>
  <c r="X16" i="12"/>
  <c r="X9" i="12"/>
  <c r="Y10" i="12"/>
  <c r="X10" i="12"/>
  <c r="Y5" i="12"/>
  <c r="AA5" i="12"/>
  <c r="Y6" i="12"/>
  <c r="Y16" i="12"/>
  <c r="Y9" i="12"/>
  <c r="Y15" i="12"/>
  <c r="Y11" i="12"/>
  <c r="E17" i="12"/>
  <c r="X17" i="12" s="1"/>
  <c r="O15" i="10"/>
  <c r="O6" i="10"/>
  <c r="N13" i="10"/>
  <c r="O13" i="10"/>
  <c r="M12" i="10"/>
  <c r="N5" i="10"/>
  <c r="O5" i="10"/>
  <c r="O12" i="10"/>
  <c r="J16" i="10"/>
  <c r="L16" i="10"/>
  <c r="O9" i="10"/>
  <c r="M10" i="10"/>
  <c r="O11" i="10"/>
  <c r="M11" i="10"/>
  <c r="M9" i="10"/>
  <c r="N10" i="10"/>
  <c r="M8" i="10"/>
  <c r="E16" i="10"/>
  <c r="M7" i="10"/>
  <c r="N8" i="10"/>
  <c r="M6" i="10"/>
  <c r="N7" i="10"/>
  <c r="M15" i="10"/>
  <c r="F21" i="9"/>
  <c r="L96" i="3"/>
  <c r="N112" i="3"/>
  <c r="L111" i="3" s="1"/>
  <c r="N111" i="3"/>
  <c r="L110" i="3" s="1"/>
  <c r="P111" i="3"/>
  <c r="P112" i="3" s="1"/>
  <c r="N104" i="3"/>
  <c r="O104" i="3" s="1"/>
  <c r="N97" i="3"/>
  <c r="N103" i="3"/>
  <c r="N106" i="3"/>
  <c r="N96" i="3"/>
  <c r="N99" i="3"/>
  <c r="P97" i="3"/>
  <c r="P96" i="3"/>
  <c r="O39" i="3"/>
  <c r="R76" i="3" s="1"/>
  <c r="N50" i="3" s="1"/>
  <c r="P92" i="3"/>
  <c r="O92" i="3"/>
  <c r="O43" i="3"/>
  <c r="O42" i="3"/>
  <c r="P36" i="3"/>
  <c r="O36" i="3" s="1"/>
  <c r="P35" i="3"/>
  <c r="O35" i="3" s="1"/>
  <c r="O9" i="3"/>
  <c r="R29" i="3"/>
  <c r="Q29" i="3"/>
  <c r="O29" i="3"/>
  <c r="N29" i="3"/>
  <c r="N12" i="3" s="1"/>
  <c r="P13" i="3"/>
  <c r="P12" i="3"/>
  <c r="O6" i="3"/>
  <c r="O5" i="3"/>
  <c r="D42" i="3"/>
  <c r="D9" i="3"/>
  <c r="D57" i="3"/>
  <c r="D52" i="3"/>
  <c r="D46" i="3"/>
  <c r="D38" i="3"/>
  <c r="D33" i="3"/>
  <c r="D32" i="3"/>
  <c r="D13" i="3"/>
  <c r="D12" i="3"/>
  <c r="G21" i="9"/>
  <c r="E21" i="9"/>
  <c r="D21" i="9"/>
  <c r="E21" i="8"/>
  <c r="D28" i="3"/>
  <c r="D27" i="3"/>
  <c r="Q92" i="3" l="1"/>
  <c r="D29" i="3"/>
  <c r="D34" i="3"/>
  <c r="D48" i="3" s="1"/>
  <c r="O54" i="3"/>
  <c r="AF77" i="3" s="1"/>
  <c r="AI90" i="3" s="1"/>
  <c r="AE73" i="3" s="1"/>
  <c r="O50" i="3"/>
  <c r="N15" i="3"/>
  <c r="O16" i="3" s="1"/>
  <c r="O111" i="3"/>
  <c r="O112" i="3"/>
  <c r="L103" i="3"/>
  <c r="O107" i="3"/>
  <c r="O96" i="3"/>
  <c r="N13" i="3"/>
  <c r="O13" i="3" s="1"/>
  <c r="L95" i="3"/>
  <c r="L102" i="3"/>
  <c r="O103" i="3"/>
  <c r="O105" i="3" s="1"/>
  <c r="O115" i="3"/>
  <c r="AB17" i="12"/>
  <c r="AC17" i="12"/>
  <c r="Y17" i="12"/>
  <c r="AA17" i="12"/>
  <c r="O16" i="10"/>
  <c r="N16" i="10"/>
  <c r="M16" i="10"/>
  <c r="O97" i="3"/>
  <c r="O100" i="3"/>
  <c r="O12" i="3"/>
  <c r="O44" i="3"/>
  <c r="AF82" i="3" s="1"/>
  <c r="O37" i="3"/>
  <c r="N51" i="3" s="1"/>
  <c r="O51" i="3" s="1"/>
  <c r="O7" i="3"/>
  <c r="D40" i="3"/>
  <c r="D54" i="3" s="1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28" i="2"/>
  <c r="O98" i="3" l="1"/>
  <c r="N60" i="3"/>
  <c r="AD104" i="3"/>
  <c r="N45" i="3" s="1"/>
  <c r="O46" i="3" s="1"/>
  <c r="AD99" i="3"/>
  <c r="AF99" i="3" s="1"/>
  <c r="AF73" i="3"/>
  <c r="O52" i="3"/>
  <c r="AF75" i="3" s="1"/>
  <c r="AE74" i="3" s="1"/>
  <c r="AF74" i="3" s="1"/>
  <c r="O113" i="3"/>
  <c r="O14" i="3"/>
  <c r="C47" i="3"/>
  <c r="D47" i="3" s="1"/>
  <c r="D59" i="3"/>
  <c r="C58" i="3" s="1"/>
  <c r="D58" i="3" s="1"/>
  <c r="C39" i="3"/>
  <c r="D39" i="3" s="1"/>
  <c r="C53" i="3"/>
  <c r="D53" i="3" s="1"/>
  <c r="E6" i="1"/>
  <c r="E7" i="1"/>
  <c r="E8" i="1"/>
  <c r="E9" i="1"/>
  <c r="E10" i="1"/>
  <c r="E11" i="1"/>
  <c r="E12" i="1"/>
  <c r="E13" i="1"/>
  <c r="E14" i="1"/>
  <c r="E5" i="1"/>
  <c r="E6" i="2"/>
  <c r="M6" i="2" s="1"/>
  <c r="E7" i="2"/>
  <c r="M7" i="2" s="1"/>
  <c r="E8" i="2"/>
  <c r="M8" i="2" s="1"/>
  <c r="E9" i="2"/>
  <c r="M9" i="2" s="1"/>
  <c r="E10" i="2"/>
  <c r="M10" i="2" s="1"/>
  <c r="E11" i="2"/>
  <c r="M11" i="2" s="1"/>
  <c r="E12" i="2"/>
  <c r="N12" i="2" s="1"/>
  <c r="E13" i="2"/>
  <c r="N13" i="2" s="1"/>
  <c r="E14" i="2"/>
  <c r="M14" i="2" s="1"/>
  <c r="E15" i="2"/>
  <c r="M15" i="2" s="1"/>
  <c r="E16" i="2"/>
  <c r="M16" i="2" s="1"/>
  <c r="E17" i="2"/>
  <c r="M17" i="2" s="1"/>
  <c r="E18" i="2"/>
  <c r="M18" i="2" s="1"/>
  <c r="E19" i="2"/>
  <c r="M19" i="2" s="1"/>
  <c r="E5" i="2"/>
  <c r="N5" i="2" s="1"/>
  <c r="D15" i="1"/>
  <c r="R92" i="3" l="1"/>
  <c r="N57" i="3" s="1"/>
  <c r="AF84" i="3"/>
  <c r="AI96" i="3" s="1"/>
  <c r="AE80" i="3" s="1"/>
  <c r="T13" i="1"/>
  <c r="S13" i="1"/>
  <c r="R13" i="1"/>
  <c r="S12" i="1"/>
  <c r="T12" i="1"/>
  <c r="R12" i="1"/>
  <c r="S11" i="1"/>
  <c r="T11" i="1"/>
  <c r="R11" i="1"/>
  <c r="S10" i="1"/>
  <c r="T10" i="1"/>
  <c r="R10" i="1"/>
  <c r="S9" i="1"/>
  <c r="T9" i="1"/>
  <c r="R9" i="1"/>
  <c r="T8" i="1"/>
  <c r="S8" i="1"/>
  <c r="R8" i="1"/>
  <c r="T5" i="1"/>
  <c r="S5" i="1"/>
  <c r="R5" i="1"/>
  <c r="T7" i="1"/>
  <c r="S7" i="1"/>
  <c r="R7" i="1"/>
  <c r="T14" i="1"/>
  <c r="S14" i="1"/>
  <c r="R14" i="1"/>
  <c r="T6" i="1"/>
  <c r="S6" i="1"/>
  <c r="R6" i="1"/>
  <c r="E20" i="2"/>
  <c r="M5" i="2"/>
  <c r="M13" i="2"/>
  <c r="N14" i="2"/>
  <c r="N11" i="2"/>
  <c r="N10" i="2"/>
  <c r="N9" i="2"/>
  <c r="N8" i="2"/>
  <c r="N7" i="2"/>
  <c r="N19" i="2"/>
  <c r="N18" i="2"/>
  <c r="N17" i="2"/>
  <c r="N16" i="2"/>
  <c r="N15" i="2"/>
  <c r="N6" i="2"/>
  <c r="M12" i="2"/>
  <c r="E15" i="1"/>
  <c r="U15" i="1" s="1"/>
  <c r="AE81" i="3" l="1"/>
  <c r="AF81" i="3" s="1"/>
  <c r="AF80" i="3"/>
  <c r="O57" i="3"/>
  <c r="O61" i="3"/>
  <c r="N58" i="3"/>
  <c r="O58" i="3" s="1"/>
  <c r="O59" i="3" s="1"/>
  <c r="M14" i="1"/>
  <c r="M13" i="1"/>
  <c r="M12" i="1"/>
  <c r="M11" i="1"/>
  <c r="M10" i="1"/>
  <c r="M9" i="1"/>
  <c r="M8" i="1"/>
  <c r="M7" i="1"/>
  <c r="M6" i="1"/>
  <c r="M5" i="1"/>
  <c r="S33" i="1"/>
  <c r="L33" i="1"/>
  <c r="R15" i="1" s="1"/>
  <c r="U33" i="1"/>
  <c r="N33" i="1"/>
  <c r="T15" i="1" s="1"/>
  <c r="O14" i="1"/>
  <c r="O13" i="1"/>
  <c r="O12" i="1"/>
  <c r="O11" i="1"/>
  <c r="O10" i="1"/>
  <c r="O9" i="1"/>
  <c r="O8" i="1"/>
  <c r="O7" i="1"/>
  <c r="O6" i="1"/>
  <c r="O5" i="1"/>
  <c r="N6" i="1"/>
  <c r="N7" i="1"/>
  <c r="N8" i="1"/>
  <c r="N9" i="1"/>
  <c r="N10" i="1"/>
  <c r="N11" i="1"/>
  <c r="N12" i="1"/>
  <c r="N13" i="1"/>
  <c r="N14" i="1"/>
  <c r="N5" i="1"/>
  <c r="T33" i="1"/>
  <c r="M33" i="1"/>
  <c r="S15" i="1" s="1"/>
  <c r="E5" i="3"/>
  <c r="D5" i="3" s="1"/>
  <c r="D19" i="3"/>
  <c r="D20" i="3"/>
  <c r="E6" i="3"/>
  <c r="D6" i="3" s="1"/>
  <c r="D20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5" i="2"/>
  <c r="R43" i="2"/>
  <c r="Q43" i="2"/>
  <c r="P43" i="2"/>
  <c r="O43" i="2"/>
  <c r="N43" i="2"/>
  <c r="M43" i="2"/>
  <c r="L43" i="2"/>
  <c r="K43" i="2"/>
  <c r="N20" i="2" s="1"/>
  <c r="J43" i="2"/>
  <c r="M20" i="2" s="1"/>
  <c r="K20" i="2"/>
  <c r="L20" i="2"/>
  <c r="D21" i="3" l="1"/>
  <c r="D14" i="3"/>
  <c r="N15" i="1"/>
  <c r="M15" i="1"/>
  <c r="O15" i="1"/>
  <c r="D7" i="3"/>
  <c r="J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tc={56A90C35-376A-7647-90ED-5C4AE37948F2}</author>
    <author>tc={51739AC7-FE48-3E49-BEFC-0C4162922E57}</author>
    <author>tc={E4A390F5-C922-E44F-876F-C66271994FAA}</author>
  </authors>
  <commentList>
    <comment ref="D5" authorId="0" shapeId="0" xr:uid="{56A90C35-376A-7647-90ED-5C4AE37948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res WSC x 4.6 ave HH size</t>
      </text>
    </comment>
    <comment ref="E5" authorId="1" shapeId="0" xr:uid="{51739AC7-FE48-3E49-BEFC-0C4162922E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res WSC x 4.6 ave HH size</t>
      </text>
    </comment>
    <comment ref="G5" authorId="2" shapeId="0" xr:uid="{E4A390F5-C922-E44F-876F-C66271994F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 WSC x 4.6 ave HH size</t>
      </text>
    </comment>
  </commentList>
</comments>
</file>

<file path=xl/sharedStrings.xml><?xml version="1.0" encoding="utf-8"?>
<sst xmlns="http://schemas.openxmlformats.org/spreadsheetml/2006/main" count="1818" uniqueCount="409">
  <si>
    <t>Tagbilaran City</t>
  </si>
  <si>
    <t>Barangay</t>
  </si>
  <si>
    <t>Waterworks</t>
  </si>
  <si>
    <t>BWUI</t>
  </si>
  <si>
    <t>Richli</t>
  </si>
  <si>
    <t>Panglao</t>
  </si>
  <si>
    <t>Balibago</t>
  </si>
  <si>
    <t>Mactan Rock</t>
  </si>
  <si>
    <t>Panglao Water Services</t>
  </si>
  <si>
    <t>Barangay Presence</t>
  </si>
  <si>
    <t>Total WSC</t>
  </si>
  <si>
    <t>Bool</t>
  </si>
  <si>
    <t>Booy</t>
  </si>
  <si>
    <t>Cabawan</t>
  </si>
  <si>
    <t>Cogon</t>
  </si>
  <si>
    <t>Dampas</t>
  </si>
  <si>
    <t>Dao</t>
  </si>
  <si>
    <t>Manga</t>
  </si>
  <si>
    <t>Mansasa</t>
  </si>
  <si>
    <t>Poblacion I</t>
  </si>
  <si>
    <t>Poblacion II</t>
  </si>
  <si>
    <t>Poblacion III</t>
  </si>
  <si>
    <t>San Isidro</t>
  </si>
  <si>
    <t>Taloto</t>
  </si>
  <si>
    <t>Tiptip</t>
  </si>
  <si>
    <t>Ubujan</t>
  </si>
  <si>
    <t>Bil-isan</t>
  </si>
  <si>
    <t>Bolod</t>
  </si>
  <si>
    <t>Danao</t>
  </si>
  <si>
    <t>Doljo</t>
  </si>
  <si>
    <t>Libaong</t>
  </si>
  <si>
    <t>Looc</t>
  </si>
  <si>
    <t>Lourdes</t>
  </si>
  <si>
    <t>Poblacion</t>
  </si>
  <si>
    <t>Tangnan</t>
  </si>
  <si>
    <t>Tawala</t>
  </si>
  <si>
    <t>served</t>
  </si>
  <si>
    <t>Remarks</t>
  </si>
  <si>
    <t>based on data provided during Aug 25-29, 2025 DD</t>
  </si>
  <si>
    <t>based on interview during Aug 25-29, 2025 DD</t>
  </si>
  <si>
    <t>Reference</t>
  </si>
  <si>
    <t>based on interview and data provided during Aug 25-29, 2025 DD</t>
  </si>
  <si>
    <t>no data provided on WSC per barangay and classification</t>
  </si>
  <si>
    <t>Water Availability</t>
  </si>
  <si>
    <t>Water Quality (customer side)</t>
  </si>
  <si>
    <t>unserved</t>
  </si>
  <si>
    <t>Brgys. Manga and Ubujan soon to be served</t>
  </si>
  <si>
    <t>TOTAL</t>
  </si>
  <si>
    <t>% of population served</t>
  </si>
  <si>
    <t>HH size</t>
  </si>
  <si>
    <t>Residential WSC</t>
  </si>
  <si>
    <t>Commercial WSC</t>
  </si>
  <si>
    <t>Institutional WSC</t>
  </si>
  <si>
    <t>BV</t>
  </si>
  <si>
    <t>Prodn</t>
  </si>
  <si>
    <t>Prevailing WSP in the brgy</t>
  </si>
  <si>
    <t>Total</t>
  </si>
  <si>
    <t>MLD</t>
  </si>
  <si>
    <t>no of days</t>
  </si>
  <si>
    <t>no data</t>
  </si>
  <si>
    <t>~4% of pop'n served</t>
  </si>
  <si>
    <t>20-24 hours/day</t>
  </si>
  <si>
    <t>NRW (%)</t>
  </si>
  <si>
    <t>as of July 2025</t>
  </si>
  <si>
    <t>Total population served</t>
  </si>
  <si>
    <t>Billed volume (MLD)</t>
  </si>
  <si>
    <t>Production volume (MLD)</t>
  </si>
  <si>
    <t>Water availability (hours/day)</t>
  </si>
  <si>
    <t>Water quality</t>
  </si>
  <si>
    <t>Average pressure (psi)</t>
  </si>
  <si>
    <t>Water supply source</t>
  </si>
  <si>
    <t>Water supply treatment</t>
  </si>
  <si>
    <t>Water Service Connections</t>
  </si>
  <si>
    <t xml:space="preserve">Residential </t>
  </si>
  <si>
    <t>Commercial</t>
  </si>
  <si>
    <t>Institutional</t>
  </si>
  <si>
    <t>Dauis</t>
  </si>
  <si>
    <t xml:space="preserve">Industrial </t>
  </si>
  <si>
    <t>Bulk</t>
  </si>
  <si>
    <t>Average monthly consumption (cu.m/month)</t>
  </si>
  <si>
    <t>Annual revenue (PhP)</t>
  </si>
  <si>
    <t>Annual collection (PhP)</t>
  </si>
  <si>
    <t>Collection efficiency (%)</t>
  </si>
  <si>
    <t>Annual Operating Expenses (PhP/year)</t>
  </si>
  <si>
    <t>Average Tariff (PhP/cum)</t>
  </si>
  <si>
    <t>Minimum Tariff (PhP/cum)</t>
  </si>
  <si>
    <t>South Balibago</t>
  </si>
  <si>
    <t>Panglao Waterworks</t>
  </si>
  <si>
    <t>Alburquerque Waterworks</t>
  </si>
  <si>
    <t>Dauis Waterworks</t>
  </si>
  <si>
    <t>Residential</t>
  </si>
  <si>
    <t>JAN-JUNE 2025</t>
  </si>
  <si>
    <t>no barangay and classification disaggregated WSC data</t>
  </si>
  <si>
    <t>based on data provided during Oct 21-24, 2025 validation</t>
  </si>
  <si>
    <t>as of JULY 2025</t>
  </si>
  <si>
    <t>no WSC data provided</t>
  </si>
  <si>
    <t>total WSC based on data provided during Aug 25-29, 2025 DD</t>
  </si>
  <si>
    <t>(based on projected 2024 pop'n)</t>
  </si>
  <si>
    <t>Projected HH</t>
  </si>
  <si>
    <t>assume rough ratio &amp; proportion for BWUI</t>
  </si>
  <si>
    <t>res</t>
  </si>
  <si>
    <t>com</t>
  </si>
  <si>
    <t>inst</t>
  </si>
  <si>
    <t>20-22 hours/day</t>
  </si>
  <si>
    <t>TAGBILARAN WATERWORKS</t>
  </si>
  <si>
    <t>% NRW</t>
  </si>
  <si>
    <t>Jan-June 2025 (cum)</t>
  </si>
  <si>
    <t>remarks</t>
  </si>
  <si>
    <t>MLD calculated based on actual provided data</t>
  </si>
  <si>
    <t>calculated based on actual data</t>
  </si>
  <si>
    <t>Tagbilaran City Waterworks System (TCWS)</t>
  </si>
  <si>
    <t>Bohol Water Utilities, Inc. (BWUI)</t>
  </si>
  <si>
    <t>Richli Water</t>
  </si>
  <si>
    <t>South Balibago Waterworks</t>
  </si>
  <si>
    <t>Mactan Rock Industries, Inc.</t>
  </si>
  <si>
    <t>Panglao Water Services Inc.</t>
  </si>
  <si>
    <t>Ponong Waterworks System Management Association, Inc. (BWSA)</t>
  </si>
  <si>
    <t>Alburquerque</t>
  </si>
  <si>
    <t>Served municipalities</t>
  </si>
  <si>
    <t xml:space="preserve">Upper Sta. Filomena Integrated Development Organization </t>
  </si>
  <si>
    <t>no breakdown per classification per brgy provided</t>
  </si>
  <si>
    <t>(HH size: 4.5)</t>
  </si>
  <si>
    <t>TCWS</t>
  </si>
  <si>
    <t>Prevailing WSP in the barangay</t>
  </si>
  <si>
    <t>Total Population</t>
  </si>
  <si>
    <t>Tagbilaran City, Baclayon, Corella, Dauis</t>
  </si>
  <si>
    <t>Tagbilaran City, Alburquerque, Baclayon, Corella, Cortes, Dauis, Loboc, Panglao, Sevilla, Sikatuna, Trinidad</t>
  </si>
  <si>
    <t>Dauis and Panglao</t>
  </si>
  <si>
    <t>10 out of 15
 (Bool, Booy, Cabawan, Cogon, Dao, Manga, San Isidro, Taloto, Tiptip, Ubujan)</t>
  </si>
  <si>
    <t>13 out of 15
 (Bool, Booy, Cabawan, Cogon, Dampas, Dao, Mansasa, Poblacion I,II,III, San Isidro, Taloto, Tiptip)</t>
  </si>
  <si>
    <t>15 out of 15
 (Bool, Booy, Cabawan, Cogon, Dampas, Dao, Manga, Mansasa, Poblacion I,II,III, San Isidro, Taloto, Tiptip, Ubujan)</t>
  </si>
  <si>
    <t>10 out of 10 
(Bil-isan, Bolod, Danao, Doljo, Libaong, Looc, Lourdes, Poblacion, Tangnan, Tawala)</t>
  </si>
  <si>
    <t>6 out of 10 
(Bolod, Danao, Doljo, Libaong,  Poblacion, Tawala)</t>
  </si>
  <si>
    <t>2 out of 10 
( Danao and Tawala)</t>
  </si>
  <si>
    <t>5 out of 10 
( Danao, Doljo, Looc, Poblacion, Tawala)</t>
  </si>
  <si>
    <t>Served Barangays in Tagbilaran City</t>
  </si>
  <si>
    <t>Served barangays in Panglao</t>
  </si>
  <si>
    <t>(HH size: 4.6)</t>
  </si>
  <si>
    <t>for whole BWUI service area:</t>
  </si>
  <si>
    <t>Jan-July 2025 (cum)</t>
  </si>
  <si>
    <t>based on actual data</t>
  </si>
  <si>
    <t>calculated</t>
  </si>
  <si>
    <t>calculation for tagbilaran only:</t>
  </si>
  <si>
    <t>calculated using overall % NRW</t>
  </si>
  <si>
    <t>assumed overall % NRW</t>
  </si>
  <si>
    <t>calculation for dauis bulk:</t>
  </si>
  <si>
    <t>Jan to June 2025: 5.26 MLD</t>
  </si>
  <si>
    <t>Jan to June 2025: 7.66 MLD</t>
  </si>
  <si>
    <t>22 to 24 hours</t>
  </si>
  <si>
    <t>deepwells</t>
  </si>
  <si>
    <t>as of June 2025</t>
  </si>
  <si>
    <t>WSC</t>
  </si>
  <si>
    <t>avecons (cum/conn/mo)</t>
  </si>
  <si>
    <t>cum/conn/mo</t>
  </si>
  <si>
    <t>Average monthly consumption (cu.m/conn/month)</t>
  </si>
  <si>
    <t>no data provided</t>
  </si>
  <si>
    <t>2024: PhP22,887,685.65
Jan-Jun 2025: PhP12,036,951.99</t>
  </si>
  <si>
    <t>no calculated data</t>
  </si>
  <si>
    <t>approx. 27,000 people</t>
  </si>
  <si>
    <t>chlorination</t>
  </si>
  <si>
    <t>Annual water sales (PhP)</t>
  </si>
  <si>
    <t>Jan to July 2025: 15.56 MLD</t>
  </si>
  <si>
    <t>Jan to July 2025: 17.33 MLD</t>
  </si>
  <si>
    <t>23 hours</t>
  </si>
  <si>
    <t>for deepwells: salt intrusion in wells near coastal areas, seasonal turbidity, some wells have iron and bacterial presence</t>
  </si>
  <si>
    <t>Demand gap:</t>
  </si>
  <si>
    <t>~1500</t>
  </si>
  <si>
    <t>~13,200</t>
  </si>
  <si>
    <t>~250</t>
  </si>
  <si>
    <t>*estimated WSC per classification in Tagbilaran since no disaggregated data was provided, only total WSC for Tagbilaran customes</t>
  </si>
  <si>
    <t>31.3 cum/conn/mo</t>
  </si>
  <si>
    <t xml:space="preserve"> 26.1 cum/conn/mo</t>
  </si>
  <si>
    <t>approx. 59,500 people</t>
  </si>
  <si>
    <t>Water Service Connections in Tagbilaran City</t>
  </si>
  <si>
    <t>as of August 2025</t>
  </si>
  <si>
    <t>majority of their 15,000 WSC</t>
  </si>
  <si>
    <t>*information was based on the discussion with Richli water during the due diligence in Aug 2025</t>
  </si>
  <si>
    <t>surface water (5 MLD WTP in Loctob, Loboc; and 10 MLD WTP in Cortes)</t>
  </si>
  <si>
    <t>filtration, chlorination</t>
  </si>
  <si>
    <t>24 hours</t>
  </si>
  <si>
    <t>residential and institutional:
0-5 cum: PhP 100.00
6-10 cum: PhP 20/cu.m
commercial:
0-15 cum: PhP 1,107.00</t>
  </si>
  <si>
    <t>residential and institutional:
0-10 cum: PhP 62.00
commercial: PhP 23/cu.m</t>
  </si>
  <si>
    <t>Residential: 
0-5 cum: PhP 30.00
6-10 cum: PhP 39/cu.m
Commercial:
0-5 cum: PhP 60.00
6-10 cum: PhP 78/cu.m</t>
  </si>
  <si>
    <t>PANGLAO WATERWORKS</t>
  </si>
  <si>
    <t>(active wsc 2024)</t>
  </si>
  <si>
    <t>inconsistent sum in the forwarded data for WSC and BV</t>
  </si>
  <si>
    <t>2025 BV res</t>
  </si>
  <si>
    <t>2025 BV com</t>
  </si>
  <si>
    <t>2025 WSC res</t>
  </si>
  <si>
    <t>2025 WSC com</t>
  </si>
  <si>
    <t>TANGNAN</t>
  </si>
  <si>
    <t>BIL-ISAN</t>
  </si>
  <si>
    <t>LOOC</t>
  </si>
  <si>
    <t>DOLJO</t>
  </si>
  <si>
    <t>POBLACION</t>
  </si>
  <si>
    <t>LOURDES</t>
  </si>
  <si>
    <t>LIBAONG</t>
  </si>
  <si>
    <t>BOLOD</t>
  </si>
  <si>
    <t>TAWALA</t>
  </si>
  <si>
    <t>DANAO</t>
  </si>
  <si>
    <t>4.19 (as of June 2025)</t>
  </si>
  <si>
    <t>20 to 22 hours</t>
  </si>
  <si>
    <t>intermittent chlorination</t>
  </si>
  <si>
    <t>Res</t>
  </si>
  <si>
    <t>Comm</t>
  </si>
  <si>
    <t>20 to 24 hours</t>
  </si>
  <si>
    <t>residential and institutional:
0-5 cum: PhP 218.96
6-10 cum: PhP 43.79/cum
commercial:
0-8 cum: PhP 792.00</t>
  </si>
  <si>
    <t>residential:
0-5 cum: PhP 219
6-10 cum: PhP 43.8/cum
commercial:
0-15 cum: PhP 780 to 1,102.50 (depends on area/brgy)</t>
  </si>
  <si>
    <t>deepwell</t>
  </si>
  <si>
    <t>24 hours/day</t>
  </si>
  <si>
    <t>monthly prodn:34000 cum/mo</t>
  </si>
  <si>
    <t>0.88 (as of June 2025)</t>
  </si>
  <si>
    <t>1.13 (as of June 2025)</t>
  </si>
  <si>
    <t>Panglao Water Services (Abejo)</t>
  </si>
  <si>
    <t>calculated based on actual data provided</t>
  </si>
  <si>
    <t>2024 WSC</t>
  </si>
  <si>
    <t>Residential: 
0-5 cum: PhP 127.68
6-10 cum: PhP 27.68/cu.m
Commercial:
0-10 cum: PhP 283.00
11 &amp; above cum: PhP 31/cu.m
Resorts: PhP 60/cum</t>
  </si>
  <si>
    <t>April to July 2025 (cum)</t>
  </si>
  <si>
    <t>1.32 (as of July 2025)</t>
  </si>
  <si>
    <t>1.79 (as of July 2025)</t>
  </si>
  <si>
    <t>Across all classifications:
0-5 cum: PhP 135.00
6-10 cum: PhP 38/cum</t>
  </si>
  <si>
    <t>Deepwells: salt intrusion in one of the wells; some wells tested positive for coliform in the recent testing</t>
  </si>
  <si>
    <t>Deepwells: iron and manganese presence</t>
  </si>
  <si>
    <t>salinity in water source</t>
  </si>
  <si>
    <t>based on interview and data provided during Oct 21-24, 2025 DD</t>
  </si>
  <si>
    <t>Ponong</t>
  </si>
  <si>
    <t>Sta Filomena</t>
  </si>
  <si>
    <t>Served Barangays in Alburquerque</t>
  </si>
  <si>
    <t>ALBURQUERQUE</t>
  </si>
  <si>
    <t>TAGBILARAN CITY</t>
  </si>
  <si>
    <t>PANGLAO</t>
  </si>
  <si>
    <t>BWSA</t>
  </si>
  <si>
    <t>(HH size: 4.3 )</t>
  </si>
  <si>
    <t>approx.33,900 people</t>
  </si>
  <si>
    <t>approx. 650 people</t>
  </si>
  <si>
    <t>approx. 620 people</t>
  </si>
  <si>
    <t>distribution side: good; no customer complaints</t>
  </si>
  <si>
    <t>reverse osmosis (RO)</t>
  </si>
  <si>
    <t>pump flow rate in cum/hr x run time x estimated pump efficiency</t>
  </si>
  <si>
    <t>Bahi</t>
  </si>
  <si>
    <t>Basacdacu</t>
  </si>
  <si>
    <t>Cantiguib</t>
  </si>
  <si>
    <t>Dangay</t>
  </si>
  <si>
    <t>East Poblacion</t>
  </si>
  <si>
    <t>San Agustin</t>
  </si>
  <si>
    <t>Santa Filomena</t>
  </si>
  <si>
    <t>Tagbuane</t>
  </si>
  <si>
    <t>Toril</t>
  </si>
  <si>
    <t>West Poblacion</t>
  </si>
  <si>
    <t>Biking</t>
  </si>
  <si>
    <t>Bingag</t>
  </si>
  <si>
    <t>Catarman</t>
  </si>
  <si>
    <t>Mariveles</t>
  </si>
  <si>
    <t>Mayacabac</t>
  </si>
  <si>
    <t>San Isidro (Canlongon)</t>
  </si>
  <si>
    <t>Songculan</t>
  </si>
  <si>
    <t>Tabalong</t>
  </si>
  <si>
    <t>Tinago</t>
  </si>
  <si>
    <t>Totolan</t>
  </si>
  <si>
    <t>as of Aug 2025</t>
  </si>
  <si>
    <t>ALBURQUERQUE WATERWORKS</t>
  </si>
  <si>
    <t>9 hours/day</t>
  </si>
  <si>
    <t>spring</t>
  </si>
  <si>
    <t>Sta. Filomena (upper part)</t>
  </si>
  <si>
    <t>Water Service Connections in Alburquerque</t>
  </si>
  <si>
    <t>24 (lower); 12 (upper)</t>
  </si>
  <si>
    <t>deepwells and spring</t>
  </si>
  <si>
    <t>Dec</t>
  </si>
  <si>
    <t>Union</t>
  </si>
  <si>
    <t>Inst</t>
  </si>
  <si>
    <t>no reading</t>
  </si>
  <si>
    <t>% res</t>
  </si>
  <si>
    <t>DAUIS WATERWORKS</t>
  </si>
  <si>
    <t>Jan-Aug 2025 (cum)</t>
  </si>
  <si>
    <t>0.89 (as of Aug 2025)</t>
  </si>
  <si>
    <t>approx 9,300 people</t>
  </si>
  <si>
    <t>Residential: 
0-5 cum: PhP 100.00
6-10 cum: PhP 23.00/cu.m
Commercial:
0-5 cum: PhP 130.00
6-10 cum: PhP 27.00/cu.m</t>
  </si>
  <si>
    <t>wsc aug 2025</t>
  </si>
  <si>
    <t>PhP 20.00 / cu.m</t>
  </si>
  <si>
    <t>every 4 days</t>
  </si>
  <si>
    <t>Brgy. Ponong</t>
  </si>
  <si>
    <t>BV calculation:</t>
  </si>
  <si>
    <t>Rate</t>
  </si>
  <si>
    <t>per cum</t>
  </si>
  <si>
    <t>Monthly coll</t>
  </si>
  <si>
    <t>php per month</t>
  </si>
  <si>
    <t>BV cum</t>
  </si>
  <si>
    <t>based on KII</t>
  </si>
  <si>
    <t>0.02 (estimate based on collection)</t>
  </si>
  <si>
    <t>approx. 1,200 people</t>
  </si>
  <si>
    <t>PhP 10.00 / cu.m</t>
  </si>
  <si>
    <t>Brgy. Sta Filomena</t>
  </si>
  <si>
    <t>Coll due to maintenance fee</t>
  </si>
  <si>
    <t>Coll due to consumption</t>
  </si>
  <si>
    <t>approx 570 people</t>
  </si>
  <si>
    <t>okay; no water quality complaints and RHU testing results pass</t>
  </si>
  <si>
    <t>DAUIS</t>
  </si>
  <si>
    <t>2025 WSC</t>
  </si>
  <si>
    <t>Brgy</t>
  </si>
  <si>
    <t>total</t>
  </si>
  <si>
    <t>check:</t>
  </si>
  <si>
    <t>total BV</t>
  </si>
  <si>
    <t>total res wsc</t>
  </si>
  <si>
    <t>total comm wsc</t>
  </si>
  <si>
    <t>total wsc 2025</t>
  </si>
  <si>
    <t>total wsc 2024</t>
  </si>
  <si>
    <t>1.23 (as of Aug 2025)</t>
  </si>
  <si>
    <t>1.45  (as of Aug 2025)</t>
  </si>
  <si>
    <t>0.54 (as of June 2025)</t>
  </si>
  <si>
    <t>0.63 (as of June 2025)</t>
  </si>
  <si>
    <t>Water Service Connections in Dauis</t>
  </si>
  <si>
    <t>approx. 460 people</t>
  </si>
  <si>
    <t>3 out of 12 (Biking, Dao, San Isidro)</t>
  </si>
  <si>
    <t>Served Barangays in Dauis</t>
  </si>
  <si>
    <t>deepwells, bulk water from BWUI</t>
  </si>
  <si>
    <t>TOTAL WSC</t>
  </si>
  <si>
    <t>Aug</t>
  </si>
  <si>
    <t>NHA</t>
  </si>
  <si>
    <t>TOTAL BV (cum)</t>
  </si>
  <si>
    <t>avecon Aug 2025</t>
  </si>
  <si>
    <t>avecons Dec 2023</t>
  </si>
  <si>
    <t>avecons Dec 2024</t>
  </si>
  <si>
    <t>WSC and BV to use</t>
  </si>
  <si>
    <t>BV to use</t>
  </si>
  <si>
    <t>as of Dec 2023</t>
  </si>
  <si>
    <t>as of Dec 2024</t>
  </si>
  <si>
    <t>avecons per brgy</t>
  </si>
  <si>
    <t>avecons reconstructed data</t>
  </si>
  <si>
    <t>annual cum</t>
  </si>
  <si>
    <t>*BWUI bulk supply data based on BWUI's Jan to July 2025 provided data</t>
  </si>
  <si>
    <t>in MLD</t>
  </si>
  <si>
    <t>with actual BV, WSC calculated using historical avecons</t>
  </si>
  <si>
    <t>2025 WSC per classification</t>
  </si>
  <si>
    <t>2025 BV per classification</t>
  </si>
  <si>
    <t>no reading Aug 2025; July 2025 data used</t>
  </si>
  <si>
    <t>TOTAL cum (Actual Aug 2025)</t>
  </si>
  <si>
    <t>TOTAL actual Aug</t>
  </si>
  <si>
    <t>TOTAL with  July data (Mariveles)</t>
  </si>
  <si>
    <t>avecons (Actual Aug data)</t>
  </si>
  <si>
    <t>no reading Aug 2025; July 2025 data used; res WSC calculated using Dec 2024 Mariveles avecons</t>
  </si>
  <si>
    <t>avecons (with July data-Mariveles)</t>
  </si>
  <si>
    <t>Poblacion+Union</t>
  </si>
  <si>
    <t>2.01 (as of Aug 2025)</t>
  </si>
  <si>
    <t>assumed based on July 2025 BV data</t>
  </si>
  <si>
    <t>assumed based on Dec 2023 WSC</t>
  </si>
  <si>
    <t>%com</t>
  </si>
  <si>
    <t>%i inst</t>
  </si>
  <si>
    <t>no reading; assumed Dec 2023 WSC data</t>
  </si>
  <si>
    <t>Biking Waterworks System (BLGU-run)</t>
  </si>
  <si>
    <t>1 out of 12 (Biking)</t>
  </si>
  <si>
    <t>approx. 1,000</t>
  </si>
  <si>
    <t>residential: PhP 12/cu.m
commercial: PhP 20/cu.m</t>
  </si>
  <si>
    <t>Brgy. Biking (BLGU-run)</t>
  </si>
  <si>
    <t>est. 0.25 (as of Oct 2025)</t>
  </si>
  <si>
    <t>est. 7.6</t>
  </si>
  <si>
    <t>6 hours</t>
  </si>
  <si>
    <t>Deepwells: traces of coliform, salt intrusion</t>
  </si>
  <si>
    <t>Brgy. Dao (BLGU-run)</t>
  </si>
  <si>
    <t>Brgy. San Isidro (BLGU-run)</t>
  </si>
  <si>
    <t>1 out of 12 (Dao)</t>
  </si>
  <si>
    <t>approx. 4600 people</t>
  </si>
  <si>
    <t>14 to 16 hours</t>
  </si>
  <si>
    <t>of population</t>
  </si>
  <si>
    <t>projected popn</t>
  </si>
  <si>
    <t>served popn</t>
  </si>
  <si>
    <t>Est. HH served/ WSC</t>
  </si>
  <si>
    <t>WSC served</t>
  </si>
  <si>
    <t>estimated</t>
  </si>
  <si>
    <t>approx. 527</t>
  </si>
  <si>
    <t>approx. 2400 people (95% of popn)</t>
  </si>
  <si>
    <t>traces of coliform, salinity, hardness</t>
  </si>
  <si>
    <t>1 out of 12 (San Isidro)</t>
  </si>
  <si>
    <t>8 hours</t>
  </si>
  <si>
    <t>PhP 8/cu.m</t>
  </si>
  <si>
    <t>est. 0.14 (as of Oct 2025)</t>
  </si>
  <si>
    <t>quality testing results pass, but water is sometimes salty</t>
  </si>
  <si>
    <t>as of Oct 2025</t>
  </si>
  <si>
    <t>BLGU-run (Brgy. Bingag)</t>
  </si>
  <si>
    <t>BLGU-run (Brgy. Tabalong)</t>
  </si>
  <si>
    <t>7 out of 12 (Catarman, Mariveles, Mayacabac, Poblacion, Songculan, Tinago, Totolan)</t>
  </si>
  <si>
    <t>12 out of 12</t>
  </si>
  <si>
    <t>1 out of 12 (Tabalong)</t>
  </si>
  <si>
    <t>1 out of 12 (Bingag)</t>
  </si>
  <si>
    <t>NO DATA</t>
  </si>
  <si>
    <t>Total with Dec 2023 data (Mayacabac)</t>
  </si>
  <si>
    <t>avecons (with Dec 2023 data (Mayacabac))</t>
  </si>
  <si>
    <t>August 2025 (cum)</t>
  </si>
  <si>
    <t>BASED ON ACTUAL READ ACCTS</t>
  </si>
  <si>
    <t>for wells:pump flow rate in cum/hr x run time x estimated pump efficiency</t>
  </si>
  <si>
    <t>active wsc 2024</t>
  </si>
  <si>
    <t>IF WITH ASSUMED CONSUMPTIONS FOR MARIVELES and MAYACABAC)</t>
  </si>
  <si>
    <t>Consumption data</t>
  </si>
  <si>
    <t>16 to 20 hours</t>
  </si>
  <si>
    <t>Source: salt intrusion</t>
  </si>
  <si>
    <t>none for WW deepwells; BWUI bulk chlorinates</t>
  </si>
  <si>
    <t>note: billed WSC as of Aug 2025</t>
  </si>
  <si>
    <t>residential:
0-5 cum: PhP 16.00/cum
6-10 cum: PhP 17.00/cum
commercial:
1-25 cum: PhP 30.00/cu.m</t>
  </si>
  <si>
    <t>*note: actual consumption is estimated at 3.02 MLD (assuming July 2025 consumption data of Mariveles and Mayacabac)</t>
  </si>
  <si>
    <t>6645 cum/day</t>
  </si>
  <si>
    <t>chris:</t>
  </si>
  <si>
    <t>pump flow rate in cum/hr x run time x estimated pump efficiency (based on Chris' calcu)</t>
  </si>
  <si>
    <t>Prodn - BWUI bulk</t>
  </si>
  <si>
    <t>from BWUI data</t>
  </si>
  <si>
    <t>Prodn - WW wells (cum/day)</t>
  </si>
  <si>
    <t xml:space="preserve">own DW: 2.06 MLD
BWUI bulk: 2.5 MLD </t>
  </si>
  <si>
    <t>approx. 18,000 people</t>
  </si>
  <si>
    <t>PhP 10/cum (member)
PhP 13/cum (non-member)</t>
  </si>
  <si>
    <t>0.05  (estimate based on collection)</t>
  </si>
  <si>
    <t>10 out of 11
(Bahi, Basacdacu, Cantiguib, Dangay,  East Poblacion, San Agustin,Santa Filomena,  Tagbuane, Toril,  West Poblacion)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</si>
</sst>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%"/>
    <numFmt numFmtId="167" formatCode="_(* #,##0.0000_);_(* \(#,##0.0000\);_(* &quot;-&quot;??_);_(@_)"/>
    <numFmt numFmtId="168" formatCode="0.0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4" tint="-0.249977111117893"/>
      <name val="Aptos Narrow"/>
      <scheme val="minor"/>
    </font>
    <font>
      <i/>
      <sz val="12"/>
      <color theme="6" tint="-0.249977111117893"/>
      <name val="Aptos Narrow"/>
      <scheme val="minor"/>
    </font>
    <font>
      <b/>
      <i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theme="0"/>
      <name val="Aptos Narrow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4" fontId="0" fillId="0" borderId="1" xfId="1" applyNumberFormat="1" applyFont="1" applyBorder="1"/>
    <xf numFmtId="0" fontId="3" fillId="0" borderId="0" xfId="0" applyFont="1" applyAlignment="1">
      <alignment horizontal="center"/>
    </xf>
    <xf numFmtId="164" fontId="3" fillId="0" borderId="1" xfId="1" applyNumberFormat="1" applyFont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164" fontId="3" fillId="7" borderId="1" xfId="1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9" fontId="0" fillId="0" borderId="1" xfId="2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43" fontId="0" fillId="0" borderId="0" xfId="1" applyFont="1"/>
    <xf numFmtId="165" fontId="0" fillId="0" borderId="0" xfId="1" applyNumberFormat="1" applyFont="1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0" fontId="7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0" fillId="1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7" fillId="9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2" fillId="7" borderId="1" xfId="1" applyNumberFormat="1" applyFont="1" applyFill="1" applyBorder="1" applyAlignment="1">
      <alignment horizontal="center"/>
    </xf>
    <xf numFmtId="9" fontId="2" fillId="7" borderId="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9" fontId="0" fillId="4" borderId="1" xfId="2" applyFont="1" applyFill="1" applyBorder="1" applyAlignment="1">
      <alignment horizontal="center"/>
    </xf>
    <xf numFmtId="9" fontId="0" fillId="10" borderId="1" xfId="2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164" fontId="0" fillId="4" borderId="1" xfId="1" applyNumberFormat="1" applyFont="1" applyFill="1" applyBorder="1" applyAlignment="1">
      <alignment horizontal="center"/>
    </xf>
    <xf numFmtId="164" fontId="0" fillId="4" borderId="1" xfId="1" applyNumberFormat="1" applyFont="1" applyFill="1" applyBorder="1" applyAlignment="1"/>
    <xf numFmtId="164" fontId="0" fillId="10" borderId="1" xfId="1" applyNumberFormat="1" applyFont="1" applyFill="1" applyBorder="1" applyAlignment="1">
      <alignment horizontal="center"/>
    </xf>
    <xf numFmtId="164" fontId="0" fillId="10" borderId="1" xfId="1" applyNumberFormat="1" applyFont="1" applyFill="1" applyBorder="1" applyAlignment="1"/>
    <xf numFmtId="9" fontId="0" fillId="11" borderId="1" xfId="2" applyFont="1" applyFill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9" fontId="7" fillId="0" borderId="1" xfId="2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13" borderId="1" xfId="2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0" fillId="13" borderId="1" xfId="1" applyNumberFormat="1" applyFont="1" applyFill="1" applyBorder="1" applyAlignment="1">
      <alignment horizontal="center"/>
    </xf>
    <xf numFmtId="0" fontId="0" fillId="14" borderId="0" xfId="0" applyFill="1"/>
    <xf numFmtId="0" fontId="0" fillId="14" borderId="0" xfId="0" applyFill="1" applyAlignment="1">
      <alignment vertical="center" wrapText="1"/>
    </xf>
    <xf numFmtId="0" fontId="8" fillId="14" borderId="0" xfId="0" applyFont="1" applyFill="1" applyAlignment="1">
      <alignment vertical="center"/>
    </xf>
    <xf numFmtId="0" fontId="2" fillId="14" borderId="0" xfId="0" applyFont="1" applyFill="1" applyAlignment="1">
      <alignment horizontal="center"/>
    </xf>
    <xf numFmtId="0" fontId="3" fillId="14" borderId="0" xfId="0" applyFont="1" applyFill="1"/>
    <xf numFmtId="0" fontId="0" fillId="14" borderId="0" xfId="0" applyFill="1" applyAlignment="1">
      <alignment horizontal="center"/>
    </xf>
    <xf numFmtId="0" fontId="2" fillId="14" borderId="0" xfId="0" applyFont="1" applyFill="1"/>
    <xf numFmtId="0" fontId="2" fillId="7" borderId="2" xfId="0" applyFont="1" applyFill="1" applyBorder="1" applyAlignment="1">
      <alignment horizontal="center"/>
    </xf>
    <xf numFmtId="9" fontId="2" fillId="7" borderId="2" xfId="2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164" fontId="2" fillId="14" borderId="0" xfId="0" applyNumberFormat="1" applyFont="1" applyFill="1" applyAlignment="1">
      <alignment horizontal="center"/>
    </xf>
    <xf numFmtId="164" fontId="2" fillId="14" borderId="0" xfId="1" applyNumberFormat="1" applyFont="1" applyFill="1" applyBorder="1" applyAlignment="1">
      <alignment horizontal="center"/>
    </xf>
    <xf numFmtId="9" fontId="2" fillId="14" borderId="0" xfId="2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/>
    </xf>
    <xf numFmtId="164" fontId="2" fillId="7" borderId="5" xfId="1" applyNumberFormat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164" fontId="0" fillId="14" borderId="3" xfId="1" applyNumberFormat="1" applyFont="1" applyFill="1" applyBorder="1" applyAlignment="1">
      <alignment horizontal="center"/>
    </xf>
    <xf numFmtId="164" fontId="2" fillId="14" borderId="3" xfId="1" applyNumberFormat="1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0" xfId="0" applyFill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14" borderId="0" xfId="0" applyFont="1" applyFill="1" applyAlignment="1">
      <alignment vertical="center" wrapText="1"/>
    </xf>
    <xf numFmtId="0" fontId="4" fillId="14" borderId="0" xfId="0" applyFont="1" applyFill="1" applyAlignment="1">
      <alignment vertical="center" wrapText="1"/>
    </xf>
    <xf numFmtId="0" fontId="2" fillId="0" borderId="2" xfId="0" applyFont="1" applyBorder="1"/>
    <xf numFmtId="10" fontId="2" fillId="0" borderId="2" xfId="0" applyNumberFormat="1" applyFont="1" applyBorder="1"/>
    <xf numFmtId="9" fontId="0" fillId="0" borderId="4" xfId="2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164" fontId="2" fillId="0" borderId="7" xfId="0" applyNumberFormat="1" applyFont="1" applyBorder="1"/>
    <xf numFmtId="9" fontId="2" fillId="0" borderId="7" xfId="2" applyFont="1" applyFill="1" applyBorder="1" applyAlignment="1">
      <alignment horizontal="center"/>
    </xf>
    <xf numFmtId="10" fontId="2" fillId="0" borderId="7" xfId="0" applyNumberFormat="1" applyFont="1" applyBorder="1"/>
    <xf numFmtId="0" fontId="5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0" fillId="0" borderId="6" xfId="0" applyBorder="1"/>
    <xf numFmtId="0" fontId="5" fillId="0" borderId="1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14" borderId="3" xfId="0" applyFont="1" applyFill="1" applyBorder="1" applyAlignment="1">
      <alignment horizontal="center"/>
    </xf>
    <xf numFmtId="9" fontId="0" fillId="14" borderId="3" xfId="2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vertical="center" wrapText="1"/>
    </xf>
    <xf numFmtId="0" fontId="0" fillId="14" borderId="0" xfId="0" applyFill="1" applyAlignment="1">
      <alignment horizontal="center" vertical="center" wrapText="1"/>
    </xf>
    <xf numFmtId="0" fontId="2" fillId="14" borderId="0" xfId="0" applyFont="1" applyFill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7" borderId="2" xfId="0" applyFont="1" applyFill="1" applyBorder="1"/>
    <xf numFmtId="164" fontId="2" fillId="7" borderId="2" xfId="0" applyNumberFormat="1" applyFont="1" applyFill="1" applyBorder="1"/>
    <xf numFmtId="0" fontId="0" fillId="15" borderId="1" xfId="0" applyFill="1" applyBorder="1" applyAlignment="1">
      <alignment horizontal="center"/>
    </xf>
    <xf numFmtId="0" fontId="2" fillId="6" borderId="0" xfId="0" applyFont="1" applyFill="1"/>
    <xf numFmtId="0" fontId="0" fillId="6" borderId="0" xfId="0" applyFill="1"/>
    <xf numFmtId="0" fontId="2" fillId="5" borderId="0" xfId="0" applyFont="1" applyFill="1"/>
    <xf numFmtId="0" fontId="0" fillId="5" borderId="0" xfId="0" applyFill="1"/>
    <xf numFmtId="0" fontId="2" fillId="0" borderId="1" xfId="0" applyFon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7" borderId="0" xfId="0" applyFill="1"/>
    <xf numFmtId="164" fontId="0" fillId="7" borderId="0" xfId="1" applyNumberFormat="1" applyFont="1" applyFill="1"/>
    <xf numFmtId="43" fontId="0" fillId="7" borderId="0" xfId="1" applyFont="1" applyFill="1"/>
    <xf numFmtId="9" fontId="0" fillId="7" borderId="0" xfId="2" applyFont="1" applyFill="1"/>
    <xf numFmtId="3" fontId="3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2" fillId="0" borderId="9" xfId="0" applyFont="1" applyBorder="1" applyAlignment="1">
      <alignment horizontal="center"/>
    </xf>
    <xf numFmtId="164" fontId="2" fillId="0" borderId="0" xfId="1" applyNumberFormat="1" applyFont="1"/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 wrapText="1"/>
    </xf>
    <xf numFmtId="166" fontId="0" fillId="0" borderId="0" xfId="2" applyNumberFormat="1" applyFont="1"/>
    <xf numFmtId="1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164" fontId="0" fillId="17" borderId="0" xfId="1" applyNumberFormat="1" applyFont="1" applyFill="1"/>
    <xf numFmtId="0" fontId="8" fillId="0" borderId="0" xfId="0" applyFont="1" applyAlignment="1">
      <alignment horizontal="center"/>
    </xf>
    <xf numFmtId="0" fontId="2" fillId="0" borderId="1" xfId="0" applyFont="1" applyBorder="1"/>
    <xf numFmtId="166" fontId="0" fillId="0" borderId="1" xfId="0" applyNumberFormat="1" applyBorder="1" applyAlignment="1">
      <alignment horizontal="center" vertical="center" wrapText="1"/>
    </xf>
    <xf numFmtId="0" fontId="0" fillId="0" borderId="5" xfId="0" applyBorder="1"/>
    <xf numFmtId="0" fontId="0" fillId="10" borderId="1" xfId="0" applyFill="1" applyBorder="1"/>
    <xf numFmtId="0" fontId="0" fillId="5" borderId="0" xfId="0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9" fontId="0" fillId="0" borderId="0" xfId="0" applyNumberFormat="1"/>
    <xf numFmtId="0" fontId="0" fillId="18" borderId="1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167" fontId="0" fillId="0" borderId="0" xfId="1" applyNumberFormat="1" applyFont="1"/>
    <xf numFmtId="0" fontId="2" fillId="12" borderId="0" xfId="0" applyFont="1" applyFill="1"/>
    <xf numFmtId="0" fontId="0" fillId="12" borderId="0" xfId="0" applyFill="1"/>
    <xf numFmtId="43" fontId="2" fillId="0" borderId="0" xfId="1" applyFont="1" applyAlignment="1">
      <alignment horizontal="center"/>
    </xf>
    <xf numFmtId="0" fontId="0" fillId="4" borderId="0" xfId="0" applyFill="1"/>
    <xf numFmtId="0" fontId="0" fillId="10" borderId="0" xfId="0" applyFill="1"/>
    <xf numFmtId="0" fontId="0" fillId="0" borderId="1" xfId="0" applyBorder="1" applyAlignment="1">
      <alignment wrapText="1"/>
    </xf>
    <xf numFmtId="9" fontId="0" fillId="15" borderId="1" xfId="2" applyFont="1" applyFill="1" applyBorder="1" applyAlignment="1">
      <alignment horizontal="center"/>
    </xf>
    <xf numFmtId="0" fontId="3" fillId="0" borderId="3" xfId="0" applyFont="1" applyBorder="1"/>
    <xf numFmtId="43" fontId="0" fillId="0" borderId="0" xfId="1" applyFont="1" applyAlignment="1">
      <alignment horizontal="center"/>
    </xf>
    <xf numFmtId="43" fontId="0" fillId="10" borderId="0" xfId="1" applyFont="1" applyFill="1" applyAlignment="1">
      <alignment horizontal="center"/>
    </xf>
    <xf numFmtId="43" fontId="3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10" borderId="0" xfId="1" applyNumberFormat="1" applyFont="1" applyFill="1" applyAlignment="1">
      <alignment horizontal="center"/>
    </xf>
    <xf numFmtId="164" fontId="3" fillId="0" borderId="0" xfId="1" applyNumberFormat="1" applyFont="1" applyAlignment="1">
      <alignment horizontal="center"/>
    </xf>
    <xf numFmtId="164" fontId="0" fillId="5" borderId="0" xfId="1" applyNumberFormat="1" applyFont="1" applyFill="1" applyAlignment="1">
      <alignment horizontal="center"/>
    </xf>
    <xf numFmtId="168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3" fillId="5" borderId="0" xfId="0" applyFont="1" applyFill="1"/>
    <xf numFmtId="0" fontId="9" fillId="0" borderId="0" xfId="0" applyFont="1"/>
    <xf numFmtId="43" fontId="0" fillId="5" borderId="0" xfId="1" applyFont="1" applyFill="1" applyAlignment="1">
      <alignment horizontal="center"/>
    </xf>
    <xf numFmtId="43" fontId="3" fillId="5" borderId="0" xfId="1" applyFont="1" applyFill="1"/>
    <xf numFmtId="43" fontId="0" fillId="5" borderId="0" xfId="1" applyFont="1" applyFill="1"/>
    <xf numFmtId="164" fontId="0" fillId="5" borderId="0" xfId="1" applyNumberFormat="1" applyFont="1" applyFill="1"/>
    <xf numFmtId="43" fontId="2" fillId="0" borderId="0" xfId="1" applyFont="1"/>
    <xf numFmtId="164" fontId="0" fillId="11" borderId="0" xfId="1" applyNumberFormat="1" applyFont="1" applyFill="1" applyAlignment="1">
      <alignment horizontal="center"/>
    </xf>
    <xf numFmtId="164" fontId="0" fillId="11" borderId="0" xfId="1" applyNumberFormat="1" applyFont="1" applyFill="1"/>
    <xf numFmtId="164" fontId="9" fillId="11" borderId="0" xfId="1" applyNumberFormat="1" applyFont="1" applyFill="1" applyAlignment="1">
      <alignment horizontal="center"/>
    </xf>
    <xf numFmtId="43" fontId="9" fillId="5" borderId="0" xfId="1" applyFont="1" applyFill="1" applyAlignment="1">
      <alignment horizontal="center"/>
    </xf>
    <xf numFmtId="164" fontId="9" fillId="5" borderId="0" xfId="1" applyNumberFormat="1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43" fontId="0" fillId="0" borderId="0" xfId="1" applyFont="1" applyFill="1" applyBorder="1" applyAlignment="1">
      <alignment horizontal="center"/>
    </xf>
    <xf numFmtId="43" fontId="9" fillId="11" borderId="0" xfId="1" applyFont="1" applyFill="1" applyAlignment="1">
      <alignment horizontal="center"/>
    </xf>
    <xf numFmtId="0" fontId="0" fillId="20" borderId="0" xfId="0" applyFill="1"/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10" fontId="0" fillId="0" borderId="0" xfId="2" applyNumberFormat="1" applyFont="1" applyAlignment="1">
      <alignment horizontal="center"/>
    </xf>
    <xf numFmtId="10" fontId="2" fillId="0" borderId="0" xfId="2" applyNumberFormat="1" applyFont="1" applyFill="1" applyBorder="1" applyAlignment="1">
      <alignment horizontal="center"/>
    </xf>
    <xf numFmtId="0" fontId="2" fillId="4" borderId="0" xfId="0" applyFont="1" applyFill="1"/>
    <xf numFmtId="43" fontId="2" fillId="4" borderId="0" xfId="1" applyFont="1" applyFill="1" applyBorder="1" applyAlignment="1">
      <alignment horizontal="center"/>
    </xf>
    <xf numFmtId="0" fontId="2" fillId="4" borderId="3" xfId="0" applyFont="1" applyFill="1" applyBorder="1"/>
    <xf numFmtId="164" fontId="2" fillId="4" borderId="0" xfId="1" applyNumberFormat="1" applyFont="1" applyFill="1" applyAlignment="1">
      <alignment horizontal="center"/>
    </xf>
    <xf numFmtId="43" fontId="2" fillId="4" borderId="0" xfId="1" applyFont="1" applyFill="1" applyAlignment="1">
      <alignment horizont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9" fontId="7" fillId="0" borderId="1" xfId="2" applyFont="1" applyFill="1" applyBorder="1" applyAlignment="1">
      <alignment horizontal="center" vertical="center" wrapText="1"/>
    </xf>
    <xf numFmtId="9" fontId="0" fillId="4" borderId="1" xfId="2" applyFont="1" applyFill="1" applyBorder="1" applyAlignment="1">
      <alignment horizontal="center" vertical="center" wrapText="1"/>
    </xf>
    <xf numFmtId="9" fontId="0" fillId="14" borderId="3" xfId="2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" fontId="0" fillId="0" borderId="0" xfId="0" applyNumberFormat="1"/>
    <xf numFmtId="0" fontId="11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9" fillId="0" borderId="0" xfId="0" applyFont="1" applyAlignment="1">
      <alignment horizontal="center"/>
    </xf>
    <xf numFmtId="9" fontId="0" fillId="0" borderId="0" xfId="2" applyFont="1" applyFill="1" applyBorder="1"/>
    <xf numFmtId="1" fontId="2" fillId="0" borderId="0" xfId="0" applyNumberFormat="1" applyFont="1" applyAlignment="1">
      <alignment horizontal="center"/>
    </xf>
    <xf numFmtId="43" fontId="0" fillId="0" borderId="0" xfId="1" applyFont="1" applyFill="1" applyBorder="1"/>
    <xf numFmtId="43" fontId="0" fillId="17" borderId="0" xfId="1" applyFont="1" applyFill="1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9" fontId="7" fillId="15" borderId="1" xfId="2" applyFont="1" applyFill="1" applyBorder="1" applyAlignment="1">
      <alignment horizontal="center" vertical="center" wrapText="1"/>
    </xf>
    <xf numFmtId="9" fontId="0" fillId="7" borderId="1" xfId="2" applyFont="1" applyFill="1" applyBorder="1" applyAlignment="1">
      <alignment horizontal="center"/>
    </xf>
    <xf numFmtId="9" fontId="1" fillId="7" borderId="1" xfId="2" applyFont="1" applyFill="1" applyBorder="1" applyAlignment="1">
      <alignment horizontal="center"/>
    </xf>
    <xf numFmtId="9" fontId="7" fillId="15" borderId="1" xfId="2" applyFont="1" applyFill="1" applyBorder="1" applyAlignment="1">
      <alignment horizontal="center"/>
    </xf>
    <xf numFmtId="0" fontId="5" fillId="14" borderId="4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7" borderId="1" xfId="0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10" borderId="5" xfId="0" applyFill="1" applyBorder="1" applyAlignment="1">
      <alignment vertical="center" wrapText="1"/>
    </xf>
    <xf numFmtId="0" fontId="0" fillId="4" borderId="5" xfId="0" applyFill="1" applyBorder="1" applyAlignment="1">
      <alignment horizontal="center"/>
    </xf>
    <xf numFmtId="0" fontId="0" fillId="10" borderId="5" xfId="0" applyFill="1" applyBorder="1"/>
    <xf numFmtId="0" fontId="2" fillId="7" borderId="1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14" borderId="11" xfId="0" applyFont="1" applyFill="1" applyBorder="1" applyAlignment="1">
      <alignment horizontal="center"/>
    </xf>
    <xf numFmtId="0" fontId="0" fillId="14" borderId="3" xfId="0" applyFill="1" applyBorder="1" applyAlignment="1">
      <alignment vertical="center" wrapText="1"/>
    </xf>
    <xf numFmtId="0" fontId="0" fillId="14" borderId="3" xfId="0" applyFill="1" applyBorder="1" applyAlignment="1">
      <alignment horizontal="center"/>
    </xf>
    <xf numFmtId="0" fontId="0" fillId="14" borderId="3" xfId="0" applyFill="1" applyBorder="1"/>
    <xf numFmtId="9" fontId="0" fillId="18" borderId="1" xfId="2" applyFont="1" applyFill="1" applyBorder="1" applyAlignment="1">
      <alignment horizontal="left" vertical="center" wrapText="1"/>
    </xf>
    <xf numFmtId="164" fontId="2" fillId="0" borderId="0" xfId="1" applyNumberFormat="1" applyFont="1" applyAlignment="1">
      <alignment vertical="center" wrapText="1"/>
    </xf>
    <xf numFmtId="43" fontId="0" fillId="0" borderId="0" xfId="0" applyNumberFormat="1" applyAlignment="1">
      <alignment vertical="center" wrapText="1"/>
    </xf>
    <xf numFmtId="0" fontId="6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aziel A. Salazar" id="{B5D9BA57-890C-C445-ACE6-5BCC2A6D795A}" userId="S::gsalazar.consultant@adb.org::02854231-11bb-4949-b0a6-88f003e1319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5-11-02T11:18:34.58" personId="{B5D9BA57-890C-C445-ACE6-5BCC2A6D795A}" id="{56A90C35-376A-7647-90ED-5C4AE37948F2}">
    <text>res WSC x 4.6 ave HH size</text>
  </threadedComment>
  <threadedComment ref="E5" dT="2025-11-02T11:18:34.58" personId="{B5D9BA57-890C-C445-ACE6-5BCC2A6D795A}" id="{51739AC7-FE48-3E49-BEFC-0C4162922E57}">
    <text>res WSC x 4.6 ave HH size</text>
  </threadedComment>
  <threadedComment ref="G5" dT="2025-11-02T11:18:34.58" personId="{B5D9BA57-890C-C445-ACE6-5BCC2A6D795A}" id="{E4A390F5-C922-E44F-876F-C66271994FAA}">
    <text>res WSC x 4.6 ave HH size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791C-1ABE-014E-A34D-9995D31845C5}">
  <dimension ref="B2:I3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8" sqref="E28"/>
    </sheetView>
  </sheetViews>
  <sheetFormatPr baseColWidth="10" defaultRowHeight="16" x14ac:dyDescent="0.2"/>
  <cols>
    <col min="1" max="1" width="10.83203125" style="68"/>
    <col min="2" max="2" width="39" style="68" customWidth="1"/>
    <col min="3" max="3" width="30.1640625" style="111" customWidth="1"/>
    <col min="4" max="5" width="28.6640625" style="111" customWidth="1"/>
    <col min="6" max="8" width="10.83203125" style="68"/>
    <col min="9" max="9" width="11.6640625" style="68" bestFit="1" customWidth="1"/>
    <col min="10" max="16384" width="10.83203125" style="68"/>
  </cols>
  <sheetData>
    <row r="2" spans="2:9" s="64" customFormat="1" ht="34" x14ac:dyDescent="0.2">
      <c r="B2" s="60" t="s">
        <v>229</v>
      </c>
      <c r="C2" s="61" t="s">
        <v>111</v>
      </c>
      <c r="D2" s="61" t="s">
        <v>112</v>
      </c>
      <c r="E2" s="62" t="s">
        <v>110</v>
      </c>
    </row>
    <row r="3" spans="2:9" s="64" customFormat="1" ht="68" x14ac:dyDescent="0.2">
      <c r="B3" s="60" t="s">
        <v>118</v>
      </c>
      <c r="C3" s="143" t="s">
        <v>125</v>
      </c>
      <c r="D3" s="143" t="s">
        <v>126</v>
      </c>
      <c r="E3" s="143" t="s">
        <v>0</v>
      </c>
      <c r="I3" s="264"/>
    </row>
    <row r="4" spans="2:9" ht="85" x14ac:dyDescent="0.2">
      <c r="B4" s="108" t="s">
        <v>135</v>
      </c>
      <c r="C4" s="108" t="s">
        <v>129</v>
      </c>
      <c r="D4" s="108" t="s">
        <v>130</v>
      </c>
      <c r="E4" s="108" t="s">
        <v>128</v>
      </c>
      <c r="I4" s="265"/>
    </row>
    <row r="5" spans="2:9" ht="17" x14ac:dyDescent="0.2">
      <c r="B5" s="99" t="s">
        <v>64</v>
      </c>
      <c r="C5" s="108" t="s">
        <v>172</v>
      </c>
      <c r="D5" s="108" t="s">
        <v>155</v>
      </c>
      <c r="E5" s="108" t="s">
        <v>158</v>
      </c>
    </row>
    <row r="6" spans="2:9" ht="17" x14ac:dyDescent="0.2">
      <c r="B6" s="99" t="s">
        <v>65</v>
      </c>
      <c r="C6" s="108" t="s">
        <v>161</v>
      </c>
      <c r="D6" s="108" t="s">
        <v>155</v>
      </c>
      <c r="E6" s="108" t="s">
        <v>146</v>
      </c>
    </row>
    <row r="7" spans="2:9" ht="17" x14ac:dyDescent="0.2">
      <c r="B7" s="99" t="s">
        <v>66</v>
      </c>
      <c r="C7" s="108" t="s">
        <v>162</v>
      </c>
      <c r="D7" s="108" t="s">
        <v>155</v>
      </c>
      <c r="E7" s="108" t="s">
        <v>147</v>
      </c>
    </row>
    <row r="8" spans="2:9" ht="17" x14ac:dyDescent="0.2">
      <c r="B8" s="99" t="s">
        <v>62</v>
      </c>
      <c r="C8" s="144">
        <v>0.1</v>
      </c>
      <c r="D8" s="152">
        <v>6.8000000000000005E-2</v>
      </c>
      <c r="E8" s="144">
        <v>0.31</v>
      </c>
    </row>
    <row r="9" spans="2:9" ht="17" x14ac:dyDescent="0.2">
      <c r="B9" s="99" t="s">
        <v>67</v>
      </c>
      <c r="C9" s="108" t="s">
        <v>163</v>
      </c>
      <c r="D9" s="108" t="s">
        <v>179</v>
      </c>
      <c r="E9" s="108" t="s">
        <v>148</v>
      </c>
    </row>
    <row r="10" spans="2:9" ht="68" x14ac:dyDescent="0.2">
      <c r="B10" s="99" t="s">
        <v>68</v>
      </c>
      <c r="C10" s="108" t="s">
        <v>164</v>
      </c>
      <c r="D10" s="108" t="s">
        <v>155</v>
      </c>
      <c r="E10" s="108" t="s">
        <v>236</v>
      </c>
    </row>
    <row r="11" spans="2:9" ht="17" x14ac:dyDescent="0.2">
      <c r="B11" s="99" t="s">
        <v>69</v>
      </c>
      <c r="C11" s="108" t="s">
        <v>155</v>
      </c>
      <c r="D11" s="108" t="s">
        <v>155</v>
      </c>
      <c r="E11" s="108" t="s">
        <v>155</v>
      </c>
    </row>
    <row r="12" spans="2:9" ht="51" x14ac:dyDescent="0.2">
      <c r="B12" s="99" t="s">
        <v>70</v>
      </c>
      <c r="C12" s="108" t="s">
        <v>149</v>
      </c>
      <c r="D12" s="108" t="s">
        <v>177</v>
      </c>
      <c r="E12" s="108" t="s">
        <v>149</v>
      </c>
    </row>
    <row r="13" spans="2:9" ht="17" x14ac:dyDescent="0.2">
      <c r="B13" s="99" t="s">
        <v>71</v>
      </c>
      <c r="C13" s="108" t="s">
        <v>159</v>
      </c>
      <c r="D13" s="108" t="s">
        <v>178</v>
      </c>
      <c r="E13" s="108" t="s">
        <v>159</v>
      </c>
    </row>
    <row r="14" spans="2:9" s="104" customFormat="1" x14ac:dyDescent="0.2">
      <c r="B14" s="102"/>
      <c r="C14" s="109"/>
      <c r="D14" s="109"/>
      <c r="E14" s="109"/>
    </row>
    <row r="15" spans="2:9" ht="17" x14ac:dyDescent="0.2">
      <c r="B15" s="99" t="s">
        <v>173</v>
      </c>
      <c r="C15" s="100" t="s">
        <v>63</v>
      </c>
      <c r="D15" s="100" t="s">
        <v>174</v>
      </c>
      <c r="E15" s="100" t="s">
        <v>150</v>
      </c>
    </row>
    <row r="16" spans="2:9" s="107" customFormat="1" ht="17" x14ac:dyDescent="0.2">
      <c r="B16" s="105" t="s">
        <v>73</v>
      </c>
      <c r="C16" s="145" t="s">
        <v>167</v>
      </c>
      <c r="D16" s="145" t="s">
        <v>155</v>
      </c>
      <c r="E16" s="150">
        <v>6017</v>
      </c>
    </row>
    <row r="17" spans="2:5" s="107" customFormat="1" ht="17" x14ac:dyDescent="0.2">
      <c r="B17" s="105" t="s">
        <v>74</v>
      </c>
      <c r="C17" s="145" t="s">
        <v>166</v>
      </c>
      <c r="D17" s="145" t="s">
        <v>155</v>
      </c>
      <c r="E17" s="145">
        <v>34</v>
      </c>
    </row>
    <row r="18" spans="2:5" s="107" customFormat="1" ht="17" x14ac:dyDescent="0.2">
      <c r="B18" s="105" t="s">
        <v>75</v>
      </c>
      <c r="C18" s="145" t="s">
        <v>168</v>
      </c>
      <c r="D18" s="145" t="s">
        <v>155</v>
      </c>
      <c r="E18" s="145">
        <v>33</v>
      </c>
    </row>
    <row r="19" spans="2:5" s="107" customFormat="1" ht="17" x14ac:dyDescent="0.2">
      <c r="B19" s="105" t="s">
        <v>77</v>
      </c>
      <c r="C19" s="145">
        <v>0</v>
      </c>
      <c r="D19" s="145" t="s">
        <v>155</v>
      </c>
      <c r="E19" s="145">
        <v>0</v>
      </c>
    </row>
    <row r="20" spans="2:5" s="107" customFormat="1" ht="17" x14ac:dyDescent="0.2">
      <c r="B20" s="105" t="s">
        <v>78</v>
      </c>
      <c r="C20" s="145">
        <v>0</v>
      </c>
      <c r="D20" s="145" t="s">
        <v>155</v>
      </c>
      <c r="E20" s="145">
        <v>0</v>
      </c>
    </row>
    <row r="21" spans="2:5" ht="17" x14ac:dyDescent="0.2">
      <c r="B21" s="101" t="s">
        <v>56</v>
      </c>
      <c r="C21" s="108">
        <v>15040</v>
      </c>
      <c r="D21" s="108" t="s">
        <v>175</v>
      </c>
      <c r="E21" s="108">
        <f t="shared" ref="E21" si="0">SUM(E16:E20)</f>
        <v>6084</v>
      </c>
    </row>
    <row r="22" spans="2:5" ht="34" x14ac:dyDescent="0.2">
      <c r="B22" s="108" t="s">
        <v>154</v>
      </c>
      <c r="C22" s="108" t="s">
        <v>170</v>
      </c>
      <c r="D22" s="151" t="s">
        <v>155</v>
      </c>
      <c r="E22" s="108" t="s">
        <v>171</v>
      </c>
    </row>
    <row r="23" spans="2:5" s="104" customFormat="1" x14ac:dyDescent="0.2">
      <c r="B23" s="109"/>
      <c r="C23" s="109"/>
      <c r="D23" s="109"/>
      <c r="E23" s="109"/>
    </row>
    <row r="24" spans="2:5" ht="17" x14ac:dyDescent="0.2">
      <c r="B24" s="108" t="s">
        <v>80</v>
      </c>
      <c r="C24" s="108"/>
      <c r="D24" s="108"/>
      <c r="E24" s="157" t="s">
        <v>155</v>
      </c>
    </row>
    <row r="25" spans="2:5" ht="34" x14ac:dyDescent="0.2">
      <c r="B25" s="108" t="s">
        <v>160</v>
      </c>
      <c r="C25" s="108"/>
      <c r="D25" s="108"/>
      <c r="E25" s="108" t="s">
        <v>156</v>
      </c>
    </row>
    <row r="26" spans="2:5" ht="17" x14ac:dyDescent="0.2">
      <c r="B26" s="108" t="s">
        <v>82</v>
      </c>
      <c r="C26" s="108"/>
      <c r="D26" s="108"/>
      <c r="E26" s="157" t="s">
        <v>157</v>
      </c>
    </row>
    <row r="27" spans="2:5" ht="17" x14ac:dyDescent="0.2">
      <c r="B27" s="108" t="s">
        <v>83</v>
      </c>
      <c r="C27" s="108"/>
      <c r="D27" s="108"/>
      <c r="E27" s="108" t="s">
        <v>155</v>
      </c>
    </row>
    <row r="28" spans="2:5" ht="85" x14ac:dyDescent="0.2">
      <c r="B28" s="108" t="s">
        <v>85</v>
      </c>
      <c r="C28" s="153" t="s">
        <v>180</v>
      </c>
      <c r="D28" s="153" t="s">
        <v>206</v>
      </c>
      <c r="E28" s="153" t="s">
        <v>181</v>
      </c>
    </row>
    <row r="29" spans="2:5" ht="17" x14ac:dyDescent="0.2">
      <c r="B29" s="108" t="s">
        <v>84</v>
      </c>
      <c r="C29" s="108"/>
      <c r="D29" s="108"/>
      <c r="E29" s="157"/>
    </row>
    <row r="30" spans="2:5" s="104" customFormat="1" x14ac:dyDescent="0.2">
      <c r="B30" s="102"/>
      <c r="C30" s="103"/>
      <c r="D30" s="103"/>
      <c r="E30" s="103"/>
    </row>
    <row r="31" spans="2:5" ht="17" x14ac:dyDescent="0.2">
      <c r="B31" s="99" t="s">
        <v>165</v>
      </c>
      <c r="C31" s="100"/>
      <c r="D31" s="100"/>
      <c r="E31" s="100"/>
    </row>
    <row r="32" spans="2:5" ht="85" x14ac:dyDescent="0.2">
      <c r="C32" s="111" t="s">
        <v>169</v>
      </c>
      <c r="D32" s="11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6C73-FD0B-8146-94C7-43F11D8AB009}">
  <dimension ref="B2:I42"/>
  <sheetViews>
    <sheetView zoomScale="75" workbookViewId="0">
      <pane xSplit="2" ySplit="2" topLeftCell="C3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baseColWidth="10" defaultRowHeight="16" x14ac:dyDescent="0.2"/>
  <cols>
    <col min="1" max="1" width="10.83203125" style="68"/>
    <col min="2" max="2" width="36.83203125" style="68" customWidth="1"/>
    <col min="3" max="7" width="28.6640625" style="111" customWidth="1"/>
    <col min="8" max="8" width="12.33203125" style="68" bestFit="1" customWidth="1"/>
    <col min="9" max="16384" width="10.83203125" style="68"/>
  </cols>
  <sheetData>
    <row r="2" spans="2:9" s="64" customFormat="1" ht="17" x14ac:dyDescent="0.2">
      <c r="B2" s="60" t="s">
        <v>230</v>
      </c>
      <c r="C2" s="61" t="s">
        <v>112</v>
      </c>
      <c r="D2" s="61" t="s">
        <v>113</v>
      </c>
      <c r="E2" s="61" t="s">
        <v>114</v>
      </c>
      <c r="F2" s="61" t="s">
        <v>115</v>
      </c>
      <c r="G2" s="62" t="s">
        <v>87</v>
      </c>
    </row>
    <row r="3" spans="2:9" s="64" customFormat="1" ht="68" x14ac:dyDescent="0.2">
      <c r="B3" s="60" t="s">
        <v>118</v>
      </c>
      <c r="C3" s="65" t="s">
        <v>126</v>
      </c>
      <c r="D3" s="65" t="s">
        <v>127</v>
      </c>
      <c r="E3" s="65" t="s">
        <v>5</v>
      </c>
      <c r="F3" s="65" t="s">
        <v>5</v>
      </c>
      <c r="G3" s="65" t="s">
        <v>5</v>
      </c>
    </row>
    <row r="4" spans="2:9" ht="68" x14ac:dyDescent="0.2">
      <c r="B4" s="99" t="s">
        <v>136</v>
      </c>
      <c r="C4" s="100" t="s">
        <v>131</v>
      </c>
      <c r="D4" s="100" t="s">
        <v>132</v>
      </c>
      <c r="E4" s="100" t="s">
        <v>133</v>
      </c>
      <c r="F4" s="100" t="s">
        <v>134</v>
      </c>
      <c r="G4" s="100" t="s">
        <v>131</v>
      </c>
    </row>
    <row r="5" spans="2:9" ht="17" x14ac:dyDescent="0.2">
      <c r="B5" s="99" t="s">
        <v>64</v>
      </c>
      <c r="C5" s="100" t="s">
        <v>155</v>
      </c>
      <c r="D5" s="159" t="s">
        <v>234</v>
      </c>
      <c r="E5" s="159" t="s">
        <v>235</v>
      </c>
      <c r="F5" s="100" t="s">
        <v>155</v>
      </c>
      <c r="G5" s="159" t="s">
        <v>233</v>
      </c>
    </row>
    <row r="6" spans="2:9" ht="17" x14ac:dyDescent="0.2">
      <c r="B6" s="99" t="s">
        <v>65</v>
      </c>
      <c r="C6" s="100" t="s">
        <v>155</v>
      </c>
      <c r="D6" s="100" t="s">
        <v>306</v>
      </c>
      <c r="E6" s="100" t="s">
        <v>211</v>
      </c>
      <c r="F6" s="100" t="s">
        <v>218</v>
      </c>
      <c r="G6" s="100" t="s">
        <v>200</v>
      </c>
    </row>
    <row r="7" spans="2:9" ht="17" x14ac:dyDescent="0.2">
      <c r="B7" s="99" t="s">
        <v>66</v>
      </c>
      <c r="C7" s="100" t="s">
        <v>155</v>
      </c>
      <c r="D7" s="100" t="s">
        <v>307</v>
      </c>
      <c r="E7" s="100" t="s">
        <v>212</v>
      </c>
      <c r="F7" s="100" t="s">
        <v>219</v>
      </c>
      <c r="G7" s="100">
        <v>6.65</v>
      </c>
    </row>
    <row r="8" spans="2:9" ht="17" x14ac:dyDescent="0.2">
      <c r="B8" s="99" t="s">
        <v>62</v>
      </c>
      <c r="C8" s="165">
        <v>6.8000000000000005E-2</v>
      </c>
      <c r="D8" s="165">
        <v>0.152</v>
      </c>
      <c r="E8" s="165">
        <v>0.223</v>
      </c>
      <c r="F8" s="165">
        <v>0.26400000000000001</v>
      </c>
      <c r="G8" s="165">
        <v>0.37</v>
      </c>
    </row>
    <row r="9" spans="2:9" ht="17" x14ac:dyDescent="0.2">
      <c r="B9" s="99" t="s">
        <v>67</v>
      </c>
      <c r="C9" s="100" t="s">
        <v>179</v>
      </c>
      <c r="D9" s="100" t="s">
        <v>205</v>
      </c>
      <c r="E9" s="100" t="s">
        <v>179</v>
      </c>
      <c r="F9" s="100" t="s">
        <v>179</v>
      </c>
      <c r="G9" s="100" t="s">
        <v>201</v>
      </c>
    </row>
    <row r="10" spans="2:9" ht="68" x14ac:dyDescent="0.2">
      <c r="B10" s="99" t="s">
        <v>68</v>
      </c>
      <c r="C10" s="161" t="s">
        <v>155</v>
      </c>
      <c r="D10" s="161" t="s">
        <v>222</v>
      </c>
      <c r="E10" s="161" t="s">
        <v>223</v>
      </c>
      <c r="F10" s="161" t="s">
        <v>223</v>
      </c>
      <c r="G10" s="161" t="s">
        <v>221</v>
      </c>
    </row>
    <row r="11" spans="2:9" ht="17" x14ac:dyDescent="0.2">
      <c r="B11" s="99" t="s">
        <v>69</v>
      </c>
      <c r="C11" s="100" t="s">
        <v>155</v>
      </c>
      <c r="D11" s="100" t="s">
        <v>155</v>
      </c>
      <c r="E11" s="100" t="s">
        <v>155</v>
      </c>
      <c r="F11" s="100" t="s">
        <v>155</v>
      </c>
      <c r="G11" s="100" t="s">
        <v>155</v>
      </c>
    </row>
    <row r="12" spans="2:9" ht="51" x14ac:dyDescent="0.2">
      <c r="B12" s="99" t="s">
        <v>70</v>
      </c>
      <c r="C12" s="108" t="s">
        <v>177</v>
      </c>
      <c r="D12" s="100" t="s">
        <v>149</v>
      </c>
      <c r="E12" s="100" t="s">
        <v>208</v>
      </c>
      <c r="F12" s="100" t="s">
        <v>208</v>
      </c>
      <c r="G12" s="100" t="s">
        <v>149</v>
      </c>
    </row>
    <row r="13" spans="2:9" ht="17" x14ac:dyDescent="0.2">
      <c r="B13" s="99" t="s">
        <v>71</v>
      </c>
      <c r="C13" s="108" t="s">
        <v>178</v>
      </c>
      <c r="D13" s="100" t="s">
        <v>159</v>
      </c>
      <c r="E13" s="100" t="s">
        <v>237</v>
      </c>
      <c r="F13" s="100" t="s">
        <v>237</v>
      </c>
      <c r="G13" s="100" t="s">
        <v>202</v>
      </c>
    </row>
    <row r="14" spans="2:9" s="104" customFormat="1" x14ac:dyDescent="0.2">
      <c r="B14" s="102"/>
      <c r="C14" s="109"/>
      <c r="D14" s="103"/>
      <c r="E14" s="103"/>
      <c r="F14" s="103"/>
      <c r="G14" s="103"/>
    </row>
    <row r="15" spans="2:9" ht="17" x14ac:dyDescent="0.2">
      <c r="B15" s="99" t="s">
        <v>72</v>
      </c>
      <c r="C15" s="100" t="s">
        <v>174</v>
      </c>
      <c r="D15" s="100" t="s">
        <v>150</v>
      </c>
      <c r="E15" s="100" t="s">
        <v>150</v>
      </c>
      <c r="F15" s="100" t="s">
        <v>63</v>
      </c>
      <c r="G15" s="100" t="s">
        <v>150</v>
      </c>
    </row>
    <row r="16" spans="2:9" s="107" customFormat="1" ht="17" x14ac:dyDescent="0.2">
      <c r="B16" s="105" t="s">
        <v>73</v>
      </c>
      <c r="C16" s="106" t="s">
        <v>155</v>
      </c>
      <c r="D16" s="106">
        <v>141</v>
      </c>
      <c r="E16" s="106">
        <v>135</v>
      </c>
      <c r="F16" s="106" t="s">
        <v>155</v>
      </c>
      <c r="G16" s="106">
        <v>7370</v>
      </c>
      <c r="H16" s="107">
        <f>F21*50%</f>
        <v>394.5</v>
      </c>
      <c r="I16" s="107">
        <f>SUM(D16:E16,G16,H16)</f>
        <v>8040.5</v>
      </c>
    </row>
    <row r="17" spans="2:9" s="107" customFormat="1" ht="17" x14ac:dyDescent="0.2">
      <c r="B17" s="105" t="s">
        <v>74</v>
      </c>
      <c r="C17" s="106" t="s">
        <v>155</v>
      </c>
      <c r="D17" s="106">
        <v>165</v>
      </c>
      <c r="E17" s="106">
        <v>18</v>
      </c>
      <c r="F17" s="106" t="s">
        <v>155</v>
      </c>
      <c r="G17" s="106">
        <v>646</v>
      </c>
      <c r="I17" s="107">
        <f>SUM(D17:E17,G17,H16)</f>
        <v>1223.5</v>
      </c>
    </row>
    <row r="18" spans="2:9" s="107" customFormat="1" ht="17" x14ac:dyDescent="0.2">
      <c r="B18" s="105" t="s">
        <v>75</v>
      </c>
      <c r="C18" s="106" t="s">
        <v>155</v>
      </c>
      <c r="D18" s="106">
        <v>0</v>
      </c>
      <c r="E18" s="106">
        <v>0</v>
      </c>
      <c r="F18" s="106" t="s">
        <v>155</v>
      </c>
      <c r="G18" s="106">
        <v>0</v>
      </c>
    </row>
    <row r="19" spans="2:9" s="107" customFormat="1" ht="17" x14ac:dyDescent="0.2">
      <c r="B19" s="105" t="s">
        <v>77</v>
      </c>
      <c r="C19" s="106" t="s">
        <v>155</v>
      </c>
      <c r="D19" s="106">
        <v>0</v>
      </c>
      <c r="E19" s="106">
        <v>0</v>
      </c>
      <c r="F19" s="106" t="s">
        <v>155</v>
      </c>
      <c r="G19" s="106">
        <v>0</v>
      </c>
    </row>
    <row r="20" spans="2:9" s="107" customFormat="1" ht="17" x14ac:dyDescent="0.2">
      <c r="B20" s="105" t="s">
        <v>78</v>
      </c>
      <c r="C20" s="106" t="s">
        <v>155</v>
      </c>
      <c r="D20" s="106">
        <v>0</v>
      </c>
      <c r="E20" s="106">
        <v>0</v>
      </c>
      <c r="F20" s="106" t="s">
        <v>155</v>
      </c>
      <c r="G20" s="106">
        <v>0</v>
      </c>
    </row>
    <row r="21" spans="2:9" ht="17" x14ac:dyDescent="0.2">
      <c r="B21" s="101" t="s">
        <v>56</v>
      </c>
      <c r="C21" s="160" t="s">
        <v>155</v>
      </c>
      <c r="D21" s="100">
        <f t="shared" ref="D21:G21" si="0">SUM(D16:D20)</f>
        <v>306</v>
      </c>
      <c r="E21" s="100">
        <f t="shared" si="0"/>
        <v>153</v>
      </c>
      <c r="F21" s="100">
        <f>calculations!N114</f>
        <v>789</v>
      </c>
      <c r="G21" s="100">
        <f t="shared" si="0"/>
        <v>8016</v>
      </c>
    </row>
    <row r="22" spans="2:9" ht="34" x14ac:dyDescent="0.2">
      <c r="B22" s="108" t="s">
        <v>79</v>
      </c>
      <c r="C22" s="160" t="s">
        <v>155</v>
      </c>
      <c r="D22" s="100">
        <v>118.5</v>
      </c>
      <c r="E22" s="100">
        <v>122.3</v>
      </c>
      <c r="F22" s="100">
        <v>33.659999999999997</v>
      </c>
      <c r="G22" s="100">
        <v>15.8</v>
      </c>
    </row>
    <row r="23" spans="2:9" s="104" customFormat="1" x14ac:dyDescent="0.2">
      <c r="B23" s="109"/>
      <c r="C23" s="103"/>
      <c r="D23" s="103"/>
      <c r="E23" s="103"/>
      <c r="F23" s="103"/>
      <c r="G23" s="103"/>
    </row>
    <row r="24" spans="2:9" ht="17" x14ac:dyDescent="0.2">
      <c r="B24" s="108" t="s">
        <v>80</v>
      </c>
      <c r="C24" s="100"/>
      <c r="D24" s="100"/>
      <c r="E24" s="100"/>
      <c r="F24" s="100"/>
      <c r="G24" s="156"/>
    </row>
    <row r="25" spans="2:9" ht="17" x14ac:dyDescent="0.2">
      <c r="B25" s="108" t="s">
        <v>81</v>
      </c>
      <c r="C25" s="100"/>
      <c r="D25" s="100"/>
      <c r="E25" s="100"/>
      <c r="F25" s="100"/>
      <c r="G25" s="156"/>
    </row>
    <row r="26" spans="2:9" ht="17" x14ac:dyDescent="0.2">
      <c r="B26" s="108" t="s">
        <v>82</v>
      </c>
      <c r="C26" s="100"/>
      <c r="D26" s="100"/>
      <c r="E26" s="100"/>
      <c r="F26" s="100"/>
      <c r="G26" s="156"/>
    </row>
    <row r="27" spans="2:9" ht="17" x14ac:dyDescent="0.2">
      <c r="B27" s="108" t="s">
        <v>83</v>
      </c>
      <c r="C27" s="100"/>
      <c r="D27" s="100"/>
      <c r="E27" s="100"/>
      <c r="F27" s="100"/>
      <c r="G27" s="156"/>
    </row>
    <row r="28" spans="2:9" ht="119" x14ac:dyDescent="0.2">
      <c r="B28" s="108" t="s">
        <v>85</v>
      </c>
      <c r="C28" s="153" t="s">
        <v>206</v>
      </c>
      <c r="D28" s="153" t="s">
        <v>207</v>
      </c>
      <c r="E28" s="153" t="s">
        <v>216</v>
      </c>
      <c r="F28" s="153" t="s">
        <v>220</v>
      </c>
      <c r="G28" s="153" t="s">
        <v>182</v>
      </c>
    </row>
    <row r="29" spans="2:9" ht="17" x14ac:dyDescent="0.2">
      <c r="B29" s="108" t="s">
        <v>84</v>
      </c>
      <c r="C29" s="100"/>
      <c r="D29" s="100"/>
      <c r="E29" s="100"/>
      <c r="F29" s="100"/>
      <c r="G29" s="156"/>
    </row>
    <row r="30" spans="2:9" s="104" customFormat="1" x14ac:dyDescent="0.2">
      <c r="C30" s="110"/>
      <c r="D30" s="110"/>
      <c r="E30" s="110"/>
      <c r="F30" s="110"/>
      <c r="G30" s="110"/>
    </row>
    <row r="33" spans="7:7" x14ac:dyDescent="0.2">
      <c r="G33" s="3" t="s">
        <v>26</v>
      </c>
    </row>
    <row r="34" spans="7:7" x14ac:dyDescent="0.2">
      <c r="G34" s="3" t="s">
        <v>27</v>
      </c>
    </row>
    <row r="35" spans="7:7" x14ac:dyDescent="0.2">
      <c r="G35" s="3" t="s">
        <v>28</v>
      </c>
    </row>
    <row r="36" spans="7:7" x14ac:dyDescent="0.2">
      <c r="G36" s="3" t="s">
        <v>29</v>
      </c>
    </row>
    <row r="37" spans="7:7" x14ac:dyDescent="0.2">
      <c r="G37" s="3" t="s">
        <v>30</v>
      </c>
    </row>
    <row r="38" spans="7:7" x14ac:dyDescent="0.2">
      <c r="G38" s="3" t="s">
        <v>31</v>
      </c>
    </row>
    <row r="39" spans="7:7" x14ac:dyDescent="0.2">
      <c r="G39" s="3" t="s">
        <v>32</v>
      </c>
    </row>
    <row r="40" spans="7:7" x14ac:dyDescent="0.2">
      <c r="G40" s="3" t="s">
        <v>33</v>
      </c>
    </row>
    <row r="41" spans="7:7" x14ac:dyDescent="0.2">
      <c r="G41" s="3" t="s">
        <v>34</v>
      </c>
    </row>
    <row r="42" spans="7:7" x14ac:dyDescent="0.2">
      <c r="G42" s="3" t="s">
        <v>35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864C-4916-C14F-9533-C72735E6497F}">
  <dimension ref="B1:J33"/>
  <sheetViews>
    <sheetView workbookViewId="0">
      <pane xSplit="2" ySplit="2" topLeftCell="C6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baseColWidth="10" defaultRowHeight="16" x14ac:dyDescent="0.2"/>
  <cols>
    <col min="1" max="1" width="10.83203125" style="68"/>
    <col min="2" max="2" width="39" style="68" customWidth="1"/>
    <col min="3" max="3" width="30.1640625" style="111" customWidth="1"/>
    <col min="4" max="5" width="28.6640625" style="111" customWidth="1"/>
    <col min="6" max="6" width="27.5" style="111" customWidth="1"/>
    <col min="7" max="10" width="28.6640625" style="111" customWidth="1"/>
    <col min="11" max="16384" width="10.83203125" style="68"/>
  </cols>
  <sheetData>
    <row r="1" spans="2:10" ht="17" x14ac:dyDescent="0.2">
      <c r="I1" s="111" t="s">
        <v>383</v>
      </c>
      <c r="J1" s="111" t="s">
        <v>383</v>
      </c>
    </row>
    <row r="2" spans="2:10" s="64" customFormat="1" ht="34" x14ac:dyDescent="0.2">
      <c r="B2" s="60" t="s">
        <v>296</v>
      </c>
      <c r="C2" s="62" t="s">
        <v>89</v>
      </c>
      <c r="D2" s="61" t="s">
        <v>86</v>
      </c>
      <c r="E2" s="61" t="s">
        <v>4</v>
      </c>
      <c r="F2" s="61" t="s">
        <v>348</v>
      </c>
      <c r="G2" s="61" t="s">
        <v>357</v>
      </c>
      <c r="H2" s="61" t="s">
        <v>358</v>
      </c>
      <c r="I2" s="229" t="s">
        <v>378</v>
      </c>
      <c r="J2" s="229" t="s">
        <v>377</v>
      </c>
    </row>
    <row r="3" spans="2:10" s="64" customFormat="1" ht="17" x14ac:dyDescent="0.2">
      <c r="B3" s="60" t="s">
        <v>118</v>
      </c>
      <c r="C3" s="65" t="s">
        <v>76</v>
      </c>
      <c r="D3" s="65" t="s">
        <v>76</v>
      </c>
      <c r="E3" s="65" t="s">
        <v>76</v>
      </c>
      <c r="F3" s="65" t="s">
        <v>76</v>
      </c>
      <c r="G3" s="65" t="s">
        <v>76</v>
      </c>
      <c r="H3" s="65" t="s">
        <v>76</v>
      </c>
      <c r="I3" s="65" t="s">
        <v>76</v>
      </c>
      <c r="J3" s="65" t="s">
        <v>76</v>
      </c>
    </row>
    <row r="4" spans="2:10" ht="51" x14ac:dyDescent="0.2">
      <c r="B4" s="108" t="s">
        <v>313</v>
      </c>
      <c r="C4" s="108" t="s">
        <v>379</v>
      </c>
      <c r="D4" s="108" t="s">
        <v>312</v>
      </c>
      <c r="E4" s="100" t="s">
        <v>380</v>
      </c>
      <c r="F4" s="100" t="s">
        <v>349</v>
      </c>
      <c r="G4" s="100" t="s">
        <v>359</v>
      </c>
      <c r="H4" s="100" t="s">
        <v>371</v>
      </c>
      <c r="I4" s="100" t="s">
        <v>381</v>
      </c>
      <c r="J4" s="100" t="s">
        <v>382</v>
      </c>
    </row>
    <row r="5" spans="2:10" ht="34" x14ac:dyDescent="0.2">
      <c r="B5" s="99" t="s">
        <v>64</v>
      </c>
      <c r="C5" s="236" t="s">
        <v>405</v>
      </c>
      <c r="D5" s="100" t="s">
        <v>311</v>
      </c>
      <c r="E5" s="100" t="s">
        <v>155</v>
      </c>
      <c r="F5" s="100" t="s">
        <v>360</v>
      </c>
      <c r="G5" s="100" t="s">
        <v>369</v>
      </c>
      <c r="H5" s="100" t="s">
        <v>155</v>
      </c>
      <c r="I5" s="108"/>
      <c r="J5" s="108"/>
    </row>
    <row r="6" spans="2:10" ht="17" x14ac:dyDescent="0.2">
      <c r="B6" s="99" t="s">
        <v>65</v>
      </c>
      <c r="C6" s="3" t="s">
        <v>342</v>
      </c>
      <c r="D6" s="100" t="s">
        <v>308</v>
      </c>
      <c r="E6" s="100" t="s">
        <v>155</v>
      </c>
      <c r="F6" s="100" t="s">
        <v>353</v>
      </c>
      <c r="G6" s="100" t="s">
        <v>155</v>
      </c>
      <c r="H6" s="100" t="s">
        <v>374</v>
      </c>
      <c r="I6" s="108"/>
      <c r="J6" s="108"/>
    </row>
    <row r="7" spans="2:10" ht="34" x14ac:dyDescent="0.2">
      <c r="B7" s="99" t="s">
        <v>66</v>
      </c>
      <c r="C7" s="180" t="s">
        <v>404</v>
      </c>
      <c r="D7" s="100" t="s">
        <v>309</v>
      </c>
      <c r="E7" s="100" t="s">
        <v>155</v>
      </c>
      <c r="F7" s="100" t="s">
        <v>155</v>
      </c>
      <c r="G7" s="100" t="s">
        <v>155</v>
      </c>
      <c r="H7" s="100" t="s">
        <v>155</v>
      </c>
      <c r="I7" s="108"/>
      <c r="J7" s="108"/>
    </row>
    <row r="8" spans="2:10" ht="17" x14ac:dyDescent="0.2">
      <c r="B8" s="99" t="s">
        <v>62</v>
      </c>
      <c r="C8" s="237">
        <v>0.56000000000000005</v>
      </c>
      <c r="D8" s="165">
        <v>0.152</v>
      </c>
      <c r="E8" s="165">
        <v>6.8000000000000005E-2</v>
      </c>
      <c r="F8" s="100" t="s">
        <v>155</v>
      </c>
      <c r="G8" s="100" t="s">
        <v>155</v>
      </c>
      <c r="H8" s="100" t="s">
        <v>155</v>
      </c>
      <c r="I8" s="144"/>
      <c r="J8" s="144"/>
    </row>
    <row r="9" spans="2:10" ht="17" x14ac:dyDescent="0.2">
      <c r="B9" s="99" t="s">
        <v>67</v>
      </c>
      <c r="C9" s="4" t="s">
        <v>392</v>
      </c>
      <c r="D9" s="100" t="s">
        <v>205</v>
      </c>
      <c r="E9" s="100" t="s">
        <v>179</v>
      </c>
      <c r="F9" s="100" t="s">
        <v>355</v>
      </c>
      <c r="G9" s="100" t="s">
        <v>361</v>
      </c>
      <c r="H9" s="100" t="s">
        <v>372</v>
      </c>
      <c r="I9" s="108"/>
      <c r="J9" s="108"/>
    </row>
    <row r="10" spans="2:10" ht="34" x14ac:dyDescent="0.2">
      <c r="B10" s="99" t="s">
        <v>68</v>
      </c>
      <c r="C10" s="236" t="s">
        <v>393</v>
      </c>
      <c r="D10" s="161" t="s">
        <v>222</v>
      </c>
      <c r="E10" s="161" t="s">
        <v>155</v>
      </c>
      <c r="F10" s="161" t="s">
        <v>356</v>
      </c>
      <c r="G10" s="100" t="s">
        <v>370</v>
      </c>
      <c r="H10" s="100" t="s">
        <v>375</v>
      </c>
      <c r="I10" s="108"/>
      <c r="J10" s="108"/>
    </row>
    <row r="11" spans="2:10" ht="17" x14ac:dyDescent="0.2">
      <c r="B11" s="99" t="s">
        <v>69</v>
      </c>
      <c r="C11" s="100" t="s">
        <v>155</v>
      </c>
      <c r="D11" s="100" t="s">
        <v>155</v>
      </c>
      <c r="E11" s="100" t="s">
        <v>155</v>
      </c>
      <c r="F11" s="100" t="s">
        <v>155</v>
      </c>
      <c r="G11" s="100" t="s">
        <v>155</v>
      </c>
      <c r="H11" s="100" t="s">
        <v>155</v>
      </c>
      <c r="I11" s="108"/>
      <c r="J11" s="108"/>
    </row>
    <row r="12" spans="2:10" ht="51" x14ac:dyDescent="0.2">
      <c r="B12" s="99" t="s">
        <v>70</v>
      </c>
      <c r="C12" s="230" t="s">
        <v>314</v>
      </c>
      <c r="D12" s="100" t="s">
        <v>149</v>
      </c>
      <c r="E12" s="108" t="s">
        <v>177</v>
      </c>
      <c r="F12" s="100" t="s">
        <v>149</v>
      </c>
      <c r="G12" s="100" t="s">
        <v>149</v>
      </c>
      <c r="H12" s="100" t="s">
        <v>149</v>
      </c>
      <c r="I12" s="108"/>
      <c r="J12" s="108"/>
    </row>
    <row r="13" spans="2:10" ht="34" x14ac:dyDescent="0.2">
      <c r="B13" s="99" t="s">
        <v>71</v>
      </c>
      <c r="C13" s="100" t="s">
        <v>394</v>
      </c>
      <c r="D13" s="100" t="s">
        <v>159</v>
      </c>
      <c r="E13" s="100" t="s">
        <v>178</v>
      </c>
      <c r="F13" s="100" t="s">
        <v>155</v>
      </c>
      <c r="G13" s="100" t="s">
        <v>155</v>
      </c>
      <c r="H13" s="100" t="s">
        <v>155</v>
      </c>
      <c r="I13" s="108"/>
      <c r="J13" s="108"/>
    </row>
    <row r="14" spans="2:10" s="104" customFormat="1" x14ac:dyDescent="0.2">
      <c r="B14" s="102"/>
      <c r="C14" s="109"/>
      <c r="D14" s="109"/>
      <c r="E14" s="109"/>
      <c r="F14" s="109"/>
      <c r="G14" s="109"/>
      <c r="H14" s="109"/>
      <c r="I14" s="109"/>
      <c r="J14" s="109"/>
    </row>
    <row r="15" spans="2:10" ht="17" x14ac:dyDescent="0.2">
      <c r="B15" s="99" t="s">
        <v>310</v>
      </c>
      <c r="C15" s="100" t="s">
        <v>395</v>
      </c>
      <c r="D15" s="100" t="s">
        <v>150</v>
      </c>
      <c r="E15" s="100" t="s">
        <v>174</v>
      </c>
      <c r="F15" s="100" t="s">
        <v>376</v>
      </c>
      <c r="G15" s="100" t="s">
        <v>376</v>
      </c>
      <c r="H15" s="100" t="s">
        <v>376</v>
      </c>
      <c r="I15" s="100"/>
      <c r="J15" s="100"/>
    </row>
    <row r="16" spans="2:10" s="107" customFormat="1" ht="17" x14ac:dyDescent="0.2">
      <c r="B16" s="105" t="s">
        <v>73</v>
      </c>
      <c r="C16" s="145">
        <f>'dauis data'!C81</f>
        <v>3908</v>
      </c>
      <c r="D16" s="145">
        <v>101</v>
      </c>
      <c r="E16" s="106" t="s">
        <v>155</v>
      </c>
      <c r="F16" s="106" t="s">
        <v>155</v>
      </c>
      <c r="G16" s="106" t="s">
        <v>155</v>
      </c>
      <c r="H16" s="106" t="s">
        <v>155</v>
      </c>
      <c r="I16" s="150"/>
      <c r="J16" s="150"/>
    </row>
    <row r="17" spans="2:10" s="107" customFormat="1" ht="17" x14ac:dyDescent="0.2">
      <c r="B17" s="105" t="s">
        <v>74</v>
      </c>
      <c r="C17" s="145">
        <f>'dauis data'!$D$81</f>
        <v>16</v>
      </c>
      <c r="D17" s="145">
        <v>36</v>
      </c>
      <c r="E17" s="106" t="s">
        <v>155</v>
      </c>
      <c r="F17" s="106" t="s">
        <v>155</v>
      </c>
      <c r="G17" s="106" t="s">
        <v>155</v>
      </c>
      <c r="H17" s="106" t="s">
        <v>155</v>
      </c>
      <c r="I17" s="145"/>
      <c r="J17" s="145"/>
    </row>
    <row r="18" spans="2:10" s="107" customFormat="1" ht="17" x14ac:dyDescent="0.2">
      <c r="B18" s="105" t="s">
        <v>75</v>
      </c>
      <c r="C18" s="145">
        <f>'dauis data'!$E$81</f>
        <v>34</v>
      </c>
      <c r="D18" s="145"/>
      <c r="E18" s="106" t="s">
        <v>155</v>
      </c>
      <c r="F18" s="106" t="s">
        <v>155</v>
      </c>
      <c r="G18" s="106" t="s">
        <v>155</v>
      </c>
      <c r="H18" s="106" t="s">
        <v>155</v>
      </c>
      <c r="I18" s="145"/>
      <c r="J18" s="145"/>
    </row>
    <row r="19" spans="2:10" s="107" customFormat="1" ht="17" x14ac:dyDescent="0.2">
      <c r="B19" s="105" t="s">
        <v>77</v>
      </c>
      <c r="C19" s="145"/>
      <c r="D19" s="145"/>
      <c r="E19" s="106" t="s">
        <v>155</v>
      </c>
      <c r="F19" s="106" t="s">
        <v>155</v>
      </c>
      <c r="G19" s="106" t="s">
        <v>155</v>
      </c>
      <c r="H19" s="106" t="s">
        <v>155</v>
      </c>
      <c r="I19" s="145"/>
      <c r="J19" s="145"/>
    </row>
    <row r="20" spans="2:10" s="107" customFormat="1" ht="17" x14ac:dyDescent="0.2">
      <c r="B20" s="105" t="s">
        <v>78</v>
      </c>
      <c r="C20" s="145"/>
      <c r="D20" s="145"/>
      <c r="E20" s="106" t="s">
        <v>155</v>
      </c>
      <c r="F20" s="106" t="s">
        <v>155</v>
      </c>
      <c r="G20" s="106" t="s">
        <v>155</v>
      </c>
      <c r="H20" s="106" t="s">
        <v>155</v>
      </c>
      <c r="I20" s="145"/>
      <c r="J20" s="145"/>
    </row>
    <row r="21" spans="2:10" ht="17" x14ac:dyDescent="0.2">
      <c r="B21" s="101" t="s">
        <v>56</v>
      </c>
      <c r="C21" s="108">
        <f>SUM(C16:C20)</f>
        <v>3958</v>
      </c>
      <c r="D21" s="108">
        <f>SUM(D16:D20)</f>
        <v>137</v>
      </c>
      <c r="E21" s="160" t="s">
        <v>155</v>
      </c>
      <c r="F21" s="100" t="s">
        <v>350</v>
      </c>
      <c r="G21" s="100" t="s">
        <v>368</v>
      </c>
      <c r="H21" s="100" t="s">
        <v>350</v>
      </c>
      <c r="I21" s="108"/>
      <c r="J21" s="108"/>
    </row>
    <row r="22" spans="2:10" ht="34" x14ac:dyDescent="0.2">
      <c r="B22" s="108" t="s">
        <v>154</v>
      </c>
      <c r="C22" s="100">
        <v>15.7</v>
      </c>
      <c r="D22" s="160">
        <v>118.5</v>
      </c>
      <c r="E22" s="160" t="s">
        <v>155</v>
      </c>
      <c r="F22" s="160" t="s">
        <v>354</v>
      </c>
      <c r="G22" s="160" t="s">
        <v>155</v>
      </c>
      <c r="H22" s="160" t="s">
        <v>155</v>
      </c>
      <c r="I22" s="100"/>
      <c r="J22" s="100"/>
    </row>
    <row r="23" spans="2:10" s="104" customFormat="1" x14ac:dyDescent="0.2">
      <c r="B23" s="109"/>
      <c r="C23" s="109"/>
      <c r="D23" s="109"/>
      <c r="E23" s="103"/>
      <c r="F23" s="109"/>
      <c r="G23" s="109"/>
      <c r="H23" s="109"/>
      <c r="I23" s="109"/>
      <c r="J23" s="109"/>
    </row>
    <row r="24" spans="2:10" ht="17" x14ac:dyDescent="0.2">
      <c r="B24" s="108" t="s">
        <v>80</v>
      </c>
      <c r="C24" s="157"/>
      <c r="D24" s="108"/>
      <c r="E24" s="100"/>
      <c r="F24" s="108"/>
      <c r="G24" s="108"/>
      <c r="H24" s="108"/>
      <c r="I24" s="108"/>
      <c r="J24" s="108"/>
    </row>
    <row r="25" spans="2:10" ht="17" x14ac:dyDescent="0.2">
      <c r="B25" s="108" t="s">
        <v>160</v>
      </c>
      <c r="C25" s="157"/>
      <c r="D25" s="108"/>
      <c r="E25" s="100"/>
      <c r="F25" s="108"/>
      <c r="G25" s="108"/>
      <c r="H25" s="108"/>
      <c r="I25" s="108"/>
      <c r="J25" s="108"/>
    </row>
    <row r="26" spans="2:10" ht="17" x14ac:dyDescent="0.2">
      <c r="B26" s="108" t="s">
        <v>82</v>
      </c>
      <c r="C26" s="157"/>
      <c r="D26" s="108"/>
      <c r="E26" s="100"/>
      <c r="F26" s="108"/>
      <c r="G26" s="108"/>
      <c r="H26" s="108"/>
      <c r="I26" s="108"/>
      <c r="J26" s="108"/>
    </row>
    <row r="27" spans="2:10" ht="17" x14ac:dyDescent="0.2">
      <c r="B27" s="108" t="s">
        <v>83</v>
      </c>
      <c r="C27" s="157"/>
      <c r="D27" s="108"/>
      <c r="E27" s="100"/>
      <c r="F27" s="108"/>
      <c r="G27" s="108"/>
      <c r="H27" s="108"/>
      <c r="I27" s="108"/>
      <c r="J27" s="108"/>
    </row>
    <row r="28" spans="2:10" ht="102" x14ac:dyDescent="0.2">
      <c r="B28" s="108" t="s">
        <v>85</v>
      </c>
      <c r="C28" s="153" t="s">
        <v>396</v>
      </c>
      <c r="D28" s="153" t="s">
        <v>207</v>
      </c>
      <c r="E28" s="153" t="s">
        <v>206</v>
      </c>
      <c r="F28" s="153" t="s">
        <v>351</v>
      </c>
      <c r="G28" s="153" t="s">
        <v>373</v>
      </c>
      <c r="H28" s="153" t="s">
        <v>406</v>
      </c>
      <c r="I28" s="153"/>
      <c r="J28" s="153"/>
    </row>
    <row r="29" spans="2:10" ht="17" x14ac:dyDescent="0.2">
      <c r="B29" s="108" t="s">
        <v>84</v>
      </c>
      <c r="C29" s="108"/>
      <c r="D29" s="108"/>
      <c r="E29" s="153"/>
      <c r="F29" s="108"/>
      <c r="G29" s="153"/>
      <c r="H29" s="108"/>
      <c r="I29" s="153"/>
      <c r="J29" s="153"/>
    </row>
    <row r="30" spans="2:10" s="104" customFormat="1" x14ac:dyDescent="0.2">
      <c r="B30" s="102"/>
      <c r="C30" s="103"/>
      <c r="D30" s="103"/>
      <c r="E30" s="103"/>
      <c r="F30" s="103"/>
      <c r="G30" s="103"/>
      <c r="H30" s="103"/>
      <c r="I30" s="103"/>
      <c r="J30" s="103"/>
    </row>
    <row r="31" spans="2:10" ht="17" x14ac:dyDescent="0.2">
      <c r="B31" s="99" t="s">
        <v>165</v>
      </c>
      <c r="C31" s="100"/>
      <c r="D31" s="100"/>
      <c r="E31" s="100"/>
      <c r="F31" s="100"/>
      <c r="G31" s="100"/>
      <c r="H31" s="100"/>
      <c r="I31" s="100"/>
      <c r="J31" s="100"/>
    </row>
    <row r="32" spans="2:10" ht="51" x14ac:dyDescent="0.2">
      <c r="C32" s="111" t="s">
        <v>329</v>
      </c>
    </row>
    <row r="33" spans="3:3" ht="68" x14ac:dyDescent="0.2">
      <c r="C33" s="111" t="s">
        <v>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A4D0-2AE6-464C-B0CD-CD892BE39338}">
  <dimension ref="A1:V63"/>
  <sheetViews>
    <sheetView topLeftCell="A13" workbookViewId="0">
      <selection activeCell="F20" sqref="F20"/>
    </sheetView>
  </sheetViews>
  <sheetFormatPr baseColWidth="10" defaultRowHeight="16" x14ac:dyDescent="0.2"/>
  <cols>
    <col min="1" max="1" width="10.83203125" style="72"/>
    <col min="2" max="2" width="6.6640625" style="2" customWidth="1"/>
    <col min="3" max="3" width="12.33203125" customWidth="1"/>
    <col min="4" max="4" width="15.33203125" customWidth="1"/>
    <col min="5" max="5" width="13.5" customWidth="1"/>
    <col min="6" max="6" width="16.5" customWidth="1"/>
    <col min="7" max="7" width="11.6640625" customWidth="1"/>
    <col min="8" max="8" width="13.5" customWidth="1"/>
    <col min="9" max="9" width="12.83203125" customWidth="1"/>
    <col min="10" max="10" width="11.1640625" customWidth="1"/>
    <col min="11" max="11" width="13.5" customWidth="1"/>
    <col min="12" max="12" width="12.33203125" customWidth="1"/>
    <col min="13" max="13" width="11.6640625" style="2" customWidth="1"/>
    <col min="14" max="14" width="14.5" style="2" customWidth="1"/>
    <col min="15" max="15" width="13.6640625" style="2" customWidth="1"/>
    <col min="16" max="16" width="12.1640625" style="2" customWidth="1"/>
    <col min="17" max="17" width="20.83203125" style="2" customWidth="1"/>
    <col min="18" max="18" width="18.33203125" style="2" customWidth="1"/>
    <col min="19" max="19" width="18.5" customWidth="1"/>
    <col min="20" max="20" width="20.83203125" customWidth="1"/>
    <col min="21" max="21" width="18.33203125" customWidth="1"/>
  </cols>
  <sheetData>
    <row r="1" spans="1:22" s="72" customFormat="1" x14ac:dyDescent="0.2">
      <c r="B1" s="77"/>
      <c r="C1" s="78" t="s">
        <v>0</v>
      </c>
      <c r="D1" s="78">
        <v>4.5</v>
      </c>
      <c r="E1" s="72" t="s">
        <v>49</v>
      </c>
      <c r="M1" s="77"/>
      <c r="N1" s="77"/>
      <c r="O1" s="77"/>
      <c r="P1" s="77"/>
      <c r="Q1" s="77"/>
      <c r="R1" s="77"/>
      <c r="S1" s="77"/>
      <c r="T1" s="77"/>
      <c r="U1" s="77"/>
    </row>
    <row r="2" spans="1:22" s="72" customFormat="1" x14ac:dyDescent="0.2">
      <c r="B2" s="77"/>
      <c r="M2" s="77"/>
      <c r="N2" s="77"/>
      <c r="O2" s="77"/>
      <c r="P2" s="77"/>
      <c r="Q2" s="77"/>
      <c r="R2" s="77"/>
      <c r="S2" s="77"/>
      <c r="T2" s="77"/>
      <c r="U2" s="77"/>
    </row>
    <row r="3" spans="1:22" s="68" customFormat="1" ht="17" x14ac:dyDescent="0.2">
      <c r="A3" s="73"/>
      <c r="B3" s="273"/>
      <c r="C3" s="273" t="s">
        <v>1</v>
      </c>
      <c r="D3" s="44" t="s">
        <v>124</v>
      </c>
      <c r="E3" s="44" t="s">
        <v>98</v>
      </c>
      <c r="F3" s="275" t="s">
        <v>123</v>
      </c>
      <c r="G3" s="267" t="s">
        <v>9</v>
      </c>
      <c r="H3" s="267"/>
      <c r="I3" s="267"/>
      <c r="J3" s="268" t="s">
        <v>10</v>
      </c>
      <c r="K3" s="268"/>
      <c r="L3" s="268"/>
      <c r="M3" s="268" t="s">
        <v>48</v>
      </c>
      <c r="N3" s="268"/>
      <c r="O3" s="272"/>
      <c r="P3" s="95"/>
      <c r="Q3" s="269" t="s">
        <v>43</v>
      </c>
      <c r="R3" s="270"/>
      <c r="S3" s="270"/>
      <c r="T3" s="271" t="s">
        <v>44</v>
      </c>
      <c r="U3" s="271"/>
      <c r="V3" s="271"/>
    </row>
    <row r="4" spans="1:22" s="48" customFormat="1" ht="51" x14ac:dyDescent="0.2">
      <c r="A4" s="74"/>
      <c r="B4" s="274"/>
      <c r="C4" s="274"/>
      <c r="D4" s="44" t="s">
        <v>97</v>
      </c>
      <c r="E4" s="44" t="s">
        <v>121</v>
      </c>
      <c r="F4" s="276"/>
      <c r="G4" s="43" t="s">
        <v>2</v>
      </c>
      <c r="H4" s="43" t="s">
        <v>3</v>
      </c>
      <c r="I4" s="43" t="s">
        <v>4</v>
      </c>
      <c r="J4" s="45" t="s">
        <v>122</v>
      </c>
      <c r="K4" s="45" t="s">
        <v>3</v>
      </c>
      <c r="L4" s="45" t="s">
        <v>4</v>
      </c>
      <c r="M4" s="45" t="s">
        <v>122</v>
      </c>
      <c r="N4" s="45" t="s">
        <v>3</v>
      </c>
      <c r="O4" s="87" t="s">
        <v>4</v>
      </c>
      <c r="P4" s="96"/>
      <c r="Q4" s="91" t="s">
        <v>2</v>
      </c>
      <c r="R4" s="46" t="s">
        <v>3</v>
      </c>
      <c r="S4" s="46" t="s">
        <v>4</v>
      </c>
      <c r="T4" s="47" t="s">
        <v>2</v>
      </c>
      <c r="U4" s="47" t="s">
        <v>3</v>
      </c>
      <c r="V4" s="47" t="s">
        <v>4</v>
      </c>
    </row>
    <row r="5" spans="1:22" x14ac:dyDescent="0.2">
      <c r="B5" s="4">
        <v>1</v>
      </c>
      <c r="C5" s="3" t="s">
        <v>11</v>
      </c>
      <c r="D5" s="16">
        <v>7441.2907750441418</v>
      </c>
      <c r="E5" s="16">
        <f t="shared" ref="E5:E19" si="0">D5/$D$1</f>
        <v>1653.6201722320316</v>
      </c>
      <c r="F5" s="4" t="s">
        <v>3</v>
      </c>
      <c r="G5" s="12" t="s">
        <v>36</v>
      </c>
      <c r="H5" s="12" t="s">
        <v>36</v>
      </c>
      <c r="I5" s="12" t="s">
        <v>36</v>
      </c>
      <c r="J5" s="70">
        <f>SUM(J28,M28,P28)</f>
        <v>114</v>
      </c>
      <c r="K5" s="70">
        <v>1401</v>
      </c>
      <c r="L5" s="4" t="s">
        <v>59</v>
      </c>
      <c r="M5" s="24">
        <f t="shared" ref="M5:M20" si="1">J28/$E5</f>
        <v>6.8334918681763723E-2</v>
      </c>
      <c r="N5" s="57">
        <f t="shared" ref="N5:N20" si="2">K28/$E5</f>
        <v>0.76898654188438653</v>
      </c>
      <c r="O5" s="88" t="s">
        <v>59</v>
      </c>
      <c r="P5" s="97"/>
      <c r="Q5" s="92">
        <v>24</v>
      </c>
      <c r="R5" s="4"/>
      <c r="S5" s="4"/>
      <c r="T5" s="3"/>
      <c r="U5" s="3"/>
      <c r="V5" s="3"/>
    </row>
    <row r="6" spans="1:22" x14ac:dyDescent="0.2">
      <c r="B6" s="4">
        <v>2</v>
      </c>
      <c r="C6" s="3" t="s">
        <v>12</v>
      </c>
      <c r="D6" s="16">
        <v>10697.992605686934</v>
      </c>
      <c r="E6" s="16">
        <f t="shared" si="0"/>
        <v>2377.3316901526518</v>
      </c>
      <c r="F6" s="4" t="s">
        <v>3</v>
      </c>
      <c r="G6" s="12" t="s">
        <v>36</v>
      </c>
      <c r="H6" s="12" t="s">
        <v>36</v>
      </c>
      <c r="I6" s="12" t="s">
        <v>36</v>
      </c>
      <c r="J6" s="70">
        <f t="shared" ref="J6:J19" si="3">SUM(J29,M29,P29)</f>
        <v>264</v>
      </c>
      <c r="K6" s="70">
        <v>930</v>
      </c>
      <c r="L6" s="4" t="s">
        <v>59</v>
      </c>
      <c r="M6" s="24">
        <f t="shared" si="1"/>
        <v>0.11020759159744201</v>
      </c>
      <c r="N6" s="57">
        <f t="shared" si="2"/>
        <v>0.37007205217633116</v>
      </c>
      <c r="O6" s="88" t="s">
        <v>59</v>
      </c>
      <c r="P6" s="97"/>
      <c r="Q6" s="92">
        <v>24</v>
      </c>
      <c r="R6" s="4"/>
      <c r="S6" s="4"/>
      <c r="T6" s="3"/>
      <c r="U6" s="3"/>
      <c r="V6" s="3"/>
    </row>
    <row r="7" spans="1:22" x14ac:dyDescent="0.2">
      <c r="B7" s="4">
        <v>3</v>
      </c>
      <c r="C7" s="3" t="s">
        <v>13</v>
      </c>
      <c r="D7" s="16">
        <v>2325.6040348297029</v>
      </c>
      <c r="E7" s="16">
        <f t="shared" si="0"/>
        <v>516.8008966288229</v>
      </c>
      <c r="F7" s="4" t="s">
        <v>122</v>
      </c>
      <c r="G7" s="12" t="s">
        <v>36</v>
      </c>
      <c r="H7" s="12" t="s">
        <v>36</v>
      </c>
      <c r="I7" s="12" t="s">
        <v>36</v>
      </c>
      <c r="J7" s="70">
        <f t="shared" si="3"/>
        <v>231</v>
      </c>
      <c r="K7" s="70">
        <v>7</v>
      </c>
      <c r="L7" s="4" t="s">
        <v>59</v>
      </c>
      <c r="M7" s="57">
        <f t="shared" si="1"/>
        <v>0.4392407240017544</v>
      </c>
      <c r="N7" s="24">
        <f t="shared" si="2"/>
        <v>0</v>
      </c>
      <c r="O7" s="88" t="s">
        <v>59</v>
      </c>
      <c r="P7" s="97"/>
      <c r="Q7" s="92">
        <v>22</v>
      </c>
      <c r="R7" s="4"/>
      <c r="S7" s="4"/>
      <c r="T7" s="3"/>
      <c r="U7" s="3"/>
      <c r="V7" s="3"/>
    </row>
    <row r="8" spans="1:22" x14ac:dyDescent="0.2">
      <c r="B8" s="4">
        <v>4</v>
      </c>
      <c r="C8" s="3" t="s">
        <v>14</v>
      </c>
      <c r="D8" s="16">
        <v>16983.437841101037</v>
      </c>
      <c r="E8" s="16">
        <f t="shared" si="0"/>
        <v>3774.0972980224524</v>
      </c>
      <c r="F8" s="4" t="s">
        <v>3</v>
      </c>
      <c r="G8" s="12" t="s">
        <v>36</v>
      </c>
      <c r="H8" s="12" t="s">
        <v>36</v>
      </c>
      <c r="I8" s="12" t="s">
        <v>36</v>
      </c>
      <c r="J8" s="70">
        <f t="shared" si="3"/>
        <v>21</v>
      </c>
      <c r="K8" s="70">
        <v>3385</v>
      </c>
      <c r="L8" s="4" t="s">
        <v>59</v>
      </c>
      <c r="M8" s="24">
        <f t="shared" si="1"/>
        <v>5.5642444647634173E-3</v>
      </c>
      <c r="N8" s="57">
        <f t="shared" si="2"/>
        <v>0.75224140605810808</v>
      </c>
      <c r="O8" s="88" t="s">
        <v>59</v>
      </c>
      <c r="P8" s="97"/>
      <c r="Q8" s="92">
        <v>24</v>
      </c>
      <c r="R8" s="4"/>
      <c r="S8" s="4"/>
      <c r="T8" s="3"/>
      <c r="U8" s="3"/>
      <c r="V8" s="3"/>
    </row>
    <row r="9" spans="1:22" x14ac:dyDescent="0.2">
      <c r="B9" s="4">
        <v>5</v>
      </c>
      <c r="C9" s="3" t="s">
        <v>15</v>
      </c>
      <c r="D9" s="16">
        <v>9709.1025328923424</v>
      </c>
      <c r="E9" s="16">
        <f t="shared" si="0"/>
        <v>2157.5783406427427</v>
      </c>
      <c r="F9" s="4" t="s">
        <v>3</v>
      </c>
      <c r="G9" s="33" t="s">
        <v>45</v>
      </c>
      <c r="H9" s="12" t="s">
        <v>36</v>
      </c>
      <c r="I9" s="12" t="s">
        <v>36</v>
      </c>
      <c r="J9" s="71">
        <f t="shared" si="3"/>
        <v>0</v>
      </c>
      <c r="K9" s="70">
        <v>1994</v>
      </c>
      <c r="L9" s="4" t="s">
        <v>59</v>
      </c>
      <c r="M9" s="69">
        <f t="shared" si="1"/>
        <v>0</v>
      </c>
      <c r="N9" s="57">
        <f t="shared" si="2"/>
        <v>0.81819325029102985</v>
      </c>
      <c r="O9" s="88" t="s">
        <v>59</v>
      </c>
      <c r="P9" s="97"/>
      <c r="Q9" s="93"/>
      <c r="R9" s="4"/>
      <c r="S9" s="4"/>
      <c r="T9" s="3"/>
      <c r="U9" s="3"/>
      <c r="V9" s="3"/>
    </row>
    <row r="10" spans="1:22" x14ac:dyDescent="0.2">
      <c r="B10" s="4">
        <v>6</v>
      </c>
      <c r="C10" s="3" t="s">
        <v>16</v>
      </c>
      <c r="D10" s="16">
        <v>11446.081524391933</v>
      </c>
      <c r="E10" s="16">
        <f t="shared" si="0"/>
        <v>2543.5736720870964</v>
      </c>
      <c r="F10" s="4" t="s">
        <v>3</v>
      </c>
      <c r="G10" s="12" t="s">
        <v>36</v>
      </c>
      <c r="H10" s="12" t="s">
        <v>36</v>
      </c>
      <c r="I10" s="12" t="s">
        <v>36</v>
      </c>
      <c r="J10" s="70">
        <f t="shared" si="3"/>
        <v>903</v>
      </c>
      <c r="K10" s="70">
        <v>1626</v>
      </c>
      <c r="L10" s="4" t="s">
        <v>59</v>
      </c>
      <c r="M10" s="24">
        <f t="shared" si="1"/>
        <v>0.3522602902493478</v>
      </c>
      <c r="N10" s="57">
        <f t="shared" si="2"/>
        <v>0.59586406023775396</v>
      </c>
      <c r="O10" s="88" t="s">
        <v>59</v>
      </c>
      <c r="P10" s="97"/>
      <c r="Q10" s="92">
        <v>24</v>
      </c>
      <c r="R10" s="4"/>
      <c r="S10" s="4"/>
      <c r="T10" s="3"/>
      <c r="U10" s="3"/>
      <c r="V10" s="3"/>
    </row>
    <row r="11" spans="1:22" x14ac:dyDescent="0.2">
      <c r="B11" s="4">
        <v>7</v>
      </c>
      <c r="C11" s="3" t="s">
        <v>17</v>
      </c>
      <c r="D11" s="16">
        <v>8082.3569585982113</v>
      </c>
      <c r="E11" s="16">
        <f t="shared" si="0"/>
        <v>1796.0793241329359</v>
      </c>
      <c r="F11" s="4" t="s">
        <v>122</v>
      </c>
      <c r="G11" s="12" t="s">
        <v>36</v>
      </c>
      <c r="H11" s="33" t="s">
        <v>45</v>
      </c>
      <c r="I11" s="12" t="s">
        <v>36</v>
      </c>
      <c r="J11" s="70">
        <f t="shared" si="3"/>
        <v>1333</v>
      </c>
      <c r="K11" s="71">
        <v>0</v>
      </c>
      <c r="L11" s="4" t="s">
        <v>59</v>
      </c>
      <c r="M11" s="57">
        <f t="shared" si="1"/>
        <v>0.73604766907397057</v>
      </c>
      <c r="N11" s="69">
        <f t="shared" si="2"/>
        <v>0</v>
      </c>
      <c r="O11" s="88" t="s">
        <v>59</v>
      </c>
      <c r="P11" s="97"/>
      <c r="Q11" s="92">
        <v>24</v>
      </c>
      <c r="R11" s="4"/>
      <c r="S11" s="4"/>
      <c r="T11" s="3"/>
      <c r="U11" s="3"/>
      <c r="V11" s="3"/>
    </row>
    <row r="12" spans="1:22" x14ac:dyDescent="0.2">
      <c r="B12" s="4">
        <v>8</v>
      </c>
      <c r="C12" s="3" t="s">
        <v>18</v>
      </c>
      <c r="D12" s="16">
        <v>6981.0930138951444</v>
      </c>
      <c r="E12" s="16">
        <f t="shared" si="0"/>
        <v>1551.3540030878098</v>
      </c>
      <c r="F12" s="4" t="s">
        <v>3</v>
      </c>
      <c r="G12" s="33" t="s">
        <v>45</v>
      </c>
      <c r="H12" s="12" t="s">
        <v>36</v>
      </c>
      <c r="I12" s="12" t="s">
        <v>36</v>
      </c>
      <c r="J12" s="71">
        <f t="shared" si="3"/>
        <v>0</v>
      </c>
      <c r="K12" s="70">
        <v>1201</v>
      </c>
      <c r="L12" s="4" t="s">
        <v>59</v>
      </c>
      <c r="M12" s="69">
        <f t="shared" si="1"/>
        <v>0</v>
      </c>
      <c r="N12" s="57">
        <f t="shared" si="2"/>
        <v>0.72827643573297574</v>
      </c>
      <c r="O12" s="88" t="s">
        <v>59</v>
      </c>
      <c r="P12" s="97"/>
      <c r="Q12" s="93"/>
      <c r="R12" s="4"/>
      <c r="S12" s="4"/>
      <c r="T12" s="3"/>
      <c r="U12" s="3"/>
      <c r="V12" s="3"/>
    </row>
    <row r="13" spans="1:22" x14ac:dyDescent="0.2">
      <c r="B13" s="4">
        <v>9</v>
      </c>
      <c r="C13" s="3" t="s">
        <v>19</v>
      </c>
      <c r="D13" s="16">
        <v>3131.485230516203</v>
      </c>
      <c r="E13" s="16">
        <f t="shared" si="0"/>
        <v>695.88560678137844</v>
      </c>
      <c r="F13" s="4" t="s">
        <v>3</v>
      </c>
      <c r="G13" s="33" t="s">
        <v>45</v>
      </c>
      <c r="H13" s="12" t="s">
        <v>36</v>
      </c>
      <c r="I13" s="12" t="s">
        <v>36</v>
      </c>
      <c r="J13" s="71">
        <f t="shared" si="3"/>
        <v>0</v>
      </c>
      <c r="K13" s="70">
        <v>492</v>
      </c>
      <c r="L13" s="4" t="s">
        <v>59</v>
      </c>
      <c r="M13" s="69">
        <f t="shared" si="1"/>
        <v>0</v>
      </c>
      <c r="N13" s="57">
        <f t="shared" si="2"/>
        <v>0.64286845261099268</v>
      </c>
      <c r="O13" s="88" t="s">
        <v>59</v>
      </c>
      <c r="P13" s="97"/>
      <c r="Q13" s="93"/>
      <c r="R13" s="4"/>
      <c r="S13" s="4"/>
      <c r="T13" s="3"/>
      <c r="U13" s="3"/>
      <c r="V13" s="3"/>
    </row>
    <row r="14" spans="1:22" x14ac:dyDescent="0.2">
      <c r="B14" s="4">
        <v>10</v>
      </c>
      <c r="C14" s="3" t="s">
        <v>20</v>
      </c>
      <c r="D14" s="16">
        <v>4643.7164781988395</v>
      </c>
      <c r="E14" s="16">
        <f t="shared" si="0"/>
        <v>1031.9369951552976</v>
      </c>
      <c r="F14" s="4" t="s">
        <v>3</v>
      </c>
      <c r="G14" s="33" t="s">
        <v>45</v>
      </c>
      <c r="H14" s="12" t="s">
        <v>36</v>
      </c>
      <c r="I14" s="12" t="s">
        <v>36</v>
      </c>
      <c r="J14" s="71">
        <f t="shared" si="3"/>
        <v>0</v>
      </c>
      <c r="K14" s="70">
        <v>1253</v>
      </c>
      <c r="L14" s="4" t="s">
        <v>59</v>
      </c>
      <c r="M14" s="69">
        <f t="shared" si="1"/>
        <v>0</v>
      </c>
      <c r="N14" s="57">
        <f t="shared" si="2"/>
        <v>0.87061026843108491</v>
      </c>
      <c r="O14" s="88" t="s">
        <v>59</v>
      </c>
      <c r="P14" s="97"/>
      <c r="Q14" s="93"/>
      <c r="R14" s="4"/>
      <c r="S14" s="4"/>
      <c r="T14" s="3"/>
      <c r="U14" s="3"/>
      <c r="V14" s="3"/>
    </row>
    <row r="15" spans="1:22" x14ac:dyDescent="0.2">
      <c r="B15" s="4">
        <v>11</v>
      </c>
      <c r="C15" s="3" t="s">
        <v>21</v>
      </c>
      <c r="D15" s="16">
        <v>5390.7351695523294</v>
      </c>
      <c r="E15" s="16">
        <f t="shared" si="0"/>
        <v>1197.9411487894065</v>
      </c>
      <c r="F15" s="4" t="s">
        <v>3</v>
      </c>
      <c r="G15" s="33" t="s">
        <v>45</v>
      </c>
      <c r="H15" s="12" t="s">
        <v>36</v>
      </c>
      <c r="I15" s="12" t="s">
        <v>36</v>
      </c>
      <c r="J15" s="71">
        <f t="shared" si="3"/>
        <v>0</v>
      </c>
      <c r="K15" s="70">
        <v>1134</v>
      </c>
      <c r="L15" s="4" t="s">
        <v>59</v>
      </c>
      <c r="M15" s="69">
        <f t="shared" si="1"/>
        <v>0</v>
      </c>
      <c r="N15" s="57">
        <f t="shared" si="2"/>
        <v>0.80299260875282186</v>
      </c>
      <c r="O15" s="88" t="s">
        <v>59</v>
      </c>
      <c r="P15" s="97"/>
      <c r="Q15" s="93"/>
      <c r="R15" s="4"/>
      <c r="S15" s="4"/>
      <c r="T15" s="3"/>
      <c r="U15" s="3"/>
      <c r="V15" s="3"/>
    </row>
    <row r="16" spans="1:22" x14ac:dyDescent="0.2">
      <c r="B16" s="4">
        <v>12</v>
      </c>
      <c r="C16" s="3" t="s">
        <v>22</v>
      </c>
      <c r="D16" s="16">
        <v>6810.9268650051663</v>
      </c>
      <c r="E16" s="16">
        <f t="shared" si="0"/>
        <v>1513.5393033344815</v>
      </c>
      <c r="F16" s="4" t="s">
        <v>3</v>
      </c>
      <c r="G16" s="12" t="s">
        <v>36</v>
      </c>
      <c r="H16" s="12" t="s">
        <v>36</v>
      </c>
      <c r="I16" s="12" t="s">
        <v>36</v>
      </c>
      <c r="J16" s="70">
        <f t="shared" si="3"/>
        <v>200</v>
      </c>
      <c r="K16" s="70">
        <v>1100</v>
      </c>
      <c r="L16" s="4" t="s">
        <v>59</v>
      </c>
      <c r="M16" s="69">
        <f t="shared" si="1"/>
        <v>0.12751568431345081</v>
      </c>
      <c r="N16" s="57">
        <f t="shared" si="2"/>
        <v>0.70332902930701602</v>
      </c>
      <c r="O16" s="88" t="s">
        <v>59</v>
      </c>
      <c r="P16" s="97"/>
      <c r="Q16" s="92">
        <v>22</v>
      </c>
      <c r="R16" s="4"/>
      <c r="S16" s="4"/>
      <c r="T16" s="3"/>
      <c r="U16" s="3"/>
      <c r="V16" s="3"/>
    </row>
    <row r="17" spans="1:22" x14ac:dyDescent="0.2">
      <c r="B17" s="4">
        <v>13</v>
      </c>
      <c r="C17" s="3" t="s">
        <v>23</v>
      </c>
      <c r="D17" s="16">
        <v>6831.2611846838427</v>
      </c>
      <c r="E17" s="16">
        <f t="shared" si="0"/>
        <v>1518.0580410408538</v>
      </c>
      <c r="F17" s="4" t="s">
        <v>122</v>
      </c>
      <c r="G17" s="12" t="s">
        <v>36</v>
      </c>
      <c r="H17" s="12" t="s">
        <v>36</v>
      </c>
      <c r="I17" s="12" t="s">
        <v>36</v>
      </c>
      <c r="J17" s="70">
        <f t="shared" si="3"/>
        <v>831</v>
      </c>
      <c r="K17" s="70">
        <v>446</v>
      </c>
      <c r="L17" s="4" t="s">
        <v>59</v>
      </c>
      <c r="M17" s="57">
        <f t="shared" si="1"/>
        <v>0.54016379995442632</v>
      </c>
      <c r="N17" s="24">
        <f t="shared" si="2"/>
        <v>0.25697392509831907</v>
      </c>
      <c r="O17" s="88" t="s">
        <v>59</v>
      </c>
      <c r="P17" s="97"/>
      <c r="Q17" s="92">
        <v>24</v>
      </c>
      <c r="R17" s="4"/>
      <c r="S17" s="4"/>
      <c r="T17" s="3"/>
      <c r="U17" s="3"/>
      <c r="V17" s="3"/>
    </row>
    <row r="18" spans="1:22" x14ac:dyDescent="0.2">
      <c r="B18" s="4">
        <v>14</v>
      </c>
      <c r="C18" s="3" t="s">
        <v>24</v>
      </c>
      <c r="D18" s="16">
        <v>5921.56793590094</v>
      </c>
      <c r="E18" s="16">
        <f t="shared" si="0"/>
        <v>1315.9039857557646</v>
      </c>
      <c r="F18" s="4" t="s">
        <v>122</v>
      </c>
      <c r="G18" s="12" t="s">
        <v>36</v>
      </c>
      <c r="H18" s="12" t="s">
        <v>36</v>
      </c>
      <c r="I18" s="12" t="s">
        <v>36</v>
      </c>
      <c r="J18" s="70">
        <f t="shared" si="3"/>
        <v>984</v>
      </c>
      <c r="K18" s="70">
        <v>71</v>
      </c>
      <c r="L18" s="4" t="s">
        <v>59</v>
      </c>
      <c r="M18" s="57">
        <f t="shared" si="1"/>
        <v>0.74169545085726973</v>
      </c>
      <c r="N18" s="24">
        <f t="shared" si="2"/>
        <v>5.2269201054586663E-2</v>
      </c>
      <c r="O18" s="88" t="s">
        <v>59</v>
      </c>
      <c r="P18" s="97"/>
      <c r="Q18" s="92">
        <v>24</v>
      </c>
      <c r="R18" s="4"/>
      <c r="S18" s="4"/>
      <c r="T18" s="3"/>
      <c r="U18" s="3"/>
      <c r="V18" s="3"/>
    </row>
    <row r="19" spans="1:22" x14ac:dyDescent="0.2">
      <c r="B19" s="4">
        <v>15</v>
      </c>
      <c r="C19" s="3" t="s">
        <v>25</v>
      </c>
      <c r="D19" s="16">
        <v>5951.5343017432006</v>
      </c>
      <c r="E19" s="16">
        <f t="shared" si="0"/>
        <v>1322.5631781651557</v>
      </c>
      <c r="F19" s="4" t="s">
        <v>122</v>
      </c>
      <c r="G19" s="12" t="s">
        <v>36</v>
      </c>
      <c r="H19" s="33" t="s">
        <v>45</v>
      </c>
      <c r="I19" s="12" t="s">
        <v>36</v>
      </c>
      <c r="J19" s="70">
        <f t="shared" si="3"/>
        <v>1203</v>
      </c>
      <c r="K19" s="71">
        <v>0</v>
      </c>
      <c r="L19" s="4" t="s">
        <v>59</v>
      </c>
      <c r="M19" s="57">
        <f t="shared" si="1"/>
        <v>0.8974996579345057</v>
      </c>
      <c r="N19" s="69">
        <f t="shared" si="2"/>
        <v>0</v>
      </c>
      <c r="O19" s="88" t="s">
        <v>59</v>
      </c>
      <c r="P19" s="97"/>
      <c r="Q19" s="92">
        <v>24</v>
      </c>
      <c r="R19" s="4"/>
      <c r="S19" s="4"/>
      <c r="T19" s="3"/>
      <c r="U19" s="3"/>
      <c r="V19" s="3"/>
    </row>
    <row r="20" spans="1:22" s="5" customFormat="1" x14ac:dyDescent="0.2">
      <c r="A20" s="75"/>
      <c r="B20" s="40"/>
      <c r="C20" s="40" t="s">
        <v>47</v>
      </c>
      <c r="D20" s="66">
        <f>SUM(D5:D19)</f>
        <v>112348.18645203998</v>
      </c>
      <c r="E20" s="66">
        <f>SUM(E5:E19)</f>
        <v>24966.263656008883</v>
      </c>
      <c r="F20" s="66"/>
      <c r="G20" s="40"/>
      <c r="H20" s="40"/>
      <c r="I20" s="40"/>
      <c r="J20" s="41">
        <f>SUM(J5:J19)</f>
        <v>6084</v>
      </c>
      <c r="K20" s="41">
        <f t="shared" ref="K20:L20" si="4">SUM(K5:K19)</f>
        <v>15040</v>
      </c>
      <c r="L20" s="41">
        <f t="shared" si="4"/>
        <v>0</v>
      </c>
      <c r="M20" s="42">
        <f t="shared" si="1"/>
        <v>0.2410052254075202</v>
      </c>
      <c r="N20" s="42">
        <f t="shared" si="2"/>
        <v>0.53000710473231705</v>
      </c>
      <c r="O20" s="89"/>
      <c r="P20" s="98"/>
      <c r="Q20" s="94"/>
      <c r="R20" s="40"/>
      <c r="S20" s="40"/>
      <c r="T20" s="40"/>
      <c r="U20" s="40"/>
      <c r="V20" s="40"/>
    </row>
    <row r="21" spans="1:22" s="75" customFormat="1" x14ac:dyDescent="0.2">
      <c r="D21" s="83"/>
      <c r="E21" s="83"/>
      <c r="F21" s="83"/>
      <c r="J21" s="84"/>
      <c r="K21" s="84"/>
      <c r="L21" s="84"/>
      <c r="M21" s="85"/>
      <c r="N21" s="85"/>
      <c r="O21" s="84"/>
      <c r="P21" s="84"/>
    </row>
    <row r="22" spans="1:22" ht="90" customHeight="1" x14ac:dyDescent="0.2">
      <c r="B22" s="13"/>
      <c r="C22" s="14" t="s">
        <v>37</v>
      </c>
      <c r="D22" s="14"/>
      <c r="E22" s="14"/>
      <c r="F22" s="14"/>
      <c r="G22" s="14"/>
      <c r="H22" s="14" t="s">
        <v>46</v>
      </c>
      <c r="I22" s="14"/>
      <c r="J22" s="14"/>
      <c r="K22" s="14"/>
      <c r="L22" s="14" t="s">
        <v>42</v>
      </c>
      <c r="M22" s="13"/>
      <c r="N22" s="13" t="s">
        <v>120</v>
      </c>
      <c r="O22" s="13"/>
      <c r="P22" s="13"/>
      <c r="Q22" s="13"/>
      <c r="R22" s="13"/>
      <c r="S22" s="13"/>
      <c r="T22" s="14"/>
      <c r="U22" s="14"/>
      <c r="V22" s="14"/>
    </row>
    <row r="23" spans="1:22" ht="102" x14ac:dyDescent="0.2">
      <c r="B23" s="9"/>
      <c r="C23" s="10" t="s">
        <v>40</v>
      </c>
      <c r="D23" s="10"/>
      <c r="E23" s="10"/>
      <c r="F23" s="10"/>
      <c r="G23" s="10" t="s">
        <v>38</v>
      </c>
      <c r="H23" s="10" t="s">
        <v>41</v>
      </c>
      <c r="I23" s="10" t="s">
        <v>39</v>
      </c>
      <c r="J23" s="10" t="s">
        <v>38</v>
      </c>
      <c r="K23" s="10" t="s">
        <v>41</v>
      </c>
      <c r="L23" s="10" t="s">
        <v>39</v>
      </c>
      <c r="M23" s="9"/>
      <c r="N23" s="9"/>
      <c r="O23" s="9"/>
      <c r="P23" s="9"/>
      <c r="Q23" s="10" t="s">
        <v>38</v>
      </c>
      <c r="R23" s="10" t="s">
        <v>41</v>
      </c>
      <c r="S23" s="10" t="s">
        <v>39</v>
      </c>
      <c r="T23" s="10" t="s">
        <v>38</v>
      </c>
      <c r="U23" s="10" t="s">
        <v>41</v>
      </c>
      <c r="V23" s="10" t="s">
        <v>39</v>
      </c>
    </row>
    <row r="24" spans="1:22" x14ac:dyDescent="0.2">
      <c r="B24" s="49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49"/>
      <c r="N24" s="49"/>
      <c r="O24" s="49"/>
      <c r="P24" s="49"/>
      <c r="Q24" s="11"/>
      <c r="R24" s="11"/>
      <c r="S24" s="11"/>
      <c r="T24" s="11"/>
      <c r="U24" s="11"/>
      <c r="V24" s="11"/>
    </row>
    <row r="25" spans="1:22" x14ac:dyDescent="0.2">
      <c r="K25" s="31"/>
      <c r="S25" s="2"/>
    </row>
    <row r="26" spans="1:22" s="8" customFormat="1" x14ac:dyDescent="0.2">
      <c r="A26" s="76"/>
      <c r="B26" s="17"/>
      <c r="C26" s="23"/>
      <c r="H26" s="22"/>
      <c r="I26" s="23"/>
      <c r="J26" s="266" t="s">
        <v>50</v>
      </c>
      <c r="K26" s="266"/>
      <c r="L26" s="266"/>
      <c r="M26" s="266" t="s">
        <v>51</v>
      </c>
      <c r="N26" s="266"/>
      <c r="O26" s="266"/>
      <c r="P26" s="266" t="s">
        <v>52</v>
      </c>
      <c r="Q26" s="266"/>
      <c r="R26" s="266"/>
    </row>
    <row r="27" spans="1:22" s="8" customFormat="1" x14ac:dyDescent="0.2">
      <c r="A27" s="76"/>
      <c r="B27" s="17"/>
      <c r="C27" s="22" t="s">
        <v>1</v>
      </c>
      <c r="H27" s="22"/>
      <c r="I27" s="22" t="s">
        <v>1</v>
      </c>
      <c r="J27" s="22" t="s">
        <v>2</v>
      </c>
      <c r="K27" s="22" t="s">
        <v>3</v>
      </c>
      <c r="L27" s="22" t="s">
        <v>4</v>
      </c>
      <c r="M27" s="22" t="s">
        <v>2</v>
      </c>
      <c r="N27" s="22" t="s">
        <v>3</v>
      </c>
      <c r="O27" s="22" t="s">
        <v>4</v>
      </c>
      <c r="P27" s="22" t="s">
        <v>2</v>
      </c>
      <c r="Q27" s="22" t="s">
        <v>3</v>
      </c>
      <c r="R27" s="22" t="s">
        <v>4</v>
      </c>
    </row>
    <row r="28" spans="1:22" s="8" customFormat="1" x14ac:dyDescent="0.2">
      <c r="A28" s="76"/>
      <c r="B28" s="17"/>
      <c r="C28" s="7" t="s">
        <v>11</v>
      </c>
      <c r="H28" s="6">
        <v>1</v>
      </c>
      <c r="I28" s="7" t="s">
        <v>11</v>
      </c>
      <c r="J28" s="12">
        <v>113</v>
      </c>
      <c r="K28" s="54">
        <f t="shared" ref="K28:K42" si="5">K5*K48</f>
        <v>1271.6116578349736</v>
      </c>
      <c r="L28" s="18"/>
      <c r="M28" s="12">
        <v>1</v>
      </c>
      <c r="N28" s="53">
        <f t="shared" ref="N28:N42" si="6">K5*N48</f>
        <v>101.81377744133232</v>
      </c>
      <c r="O28" s="25"/>
      <c r="P28" s="12">
        <v>0</v>
      </c>
      <c r="Q28" s="53">
        <f t="shared" ref="Q28:Q42" si="7">K5*Q48</f>
        <v>27.574564723694174</v>
      </c>
      <c r="R28" s="25"/>
    </row>
    <row r="29" spans="1:22" s="8" customFormat="1" x14ac:dyDescent="0.2">
      <c r="A29" s="76"/>
      <c r="B29" s="17"/>
      <c r="C29" s="7" t="s">
        <v>12</v>
      </c>
      <c r="H29" s="6">
        <v>2</v>
      </c>
      <c r="I29" s="7" t="s">
        <v>12</v>
      </c>
      <c r="J29" s="12">
        <v>262</v>
      </c>
      <c r="K29" s="54">
        <f t="shared" si="5"/>
        <v>879.78401727861774</v>
      </c>
      <c r="L29" s="18"/>
      <c r="M29" s="12">
        <v>1</v>
      </c>
      <c r="N29" s="53">
        <f t="shared" si="6"/>
        <v>41.177105831533474</v>
      </c>
      <c r="O29" s="25"/>
      <c r="P29" s="12">
        <v>1</v>
      </c>
      <c r="Q29" s="53">
        <f t="shared" si="7"/>
        <v>9.0388768898488117</v>
      </c>
      <c r="R29" s="25"/>
    </row>
    <row r="30" spans="1:22" s="8" customFormat="1" x14ac:dyDescent="0.2">
      <c r="A30" s="76"/>
      <c r="B30" s="17"/>
      <c r="C30" s="7" t="s">
        <v>13</v>
      </c>
      <c r="H30" s="6">
        <v>3</v>
      </c>
      <c r="I30" s="7" t="s">
        <v>13</v>
      </c>
      <c r="J30" s="12">
        <v>227</v>
      </c>
      <c r="K30" s="54">
        <f t="shared" si="5"/>
        <v>0</v>
      </c>
      <c r="L30" s="18"/>
      <c r="M30" s="12">
        <v>1</v>
      </c>
      <c r="N30" s="53">
        <f t="shared" si="6"/>
        <v>0</v>
      </c>
      <c r="O30" s="25"/>
      <c r="P30" s="12">
        <v>3</v>
      </c>
      <c r="Q30" s="53">
        <f t="shared" si="7"/>
        <v>7</v>
      </c>
      <c r="R30" s="25"/>
    </row>
    <row r="31" spans="1:22" s="8" customFormat="1" x14ac:dyDescent="0.2">
      <c r="A31" s="76"/>
      <c r="B31" s="17"/>
      <c r="C31" s="7" t="s">
        <v>14</v>
      </c>
      <c r="H31" s="6">
        <v>4</v>
      </c>
      <c r="I31" s="7" t="s">
        <v>14</v>
      </c>
      <c r="J31" s="12">
        <v>21</v>
      </c>
      <c r="K31" s="54">
        <f t="shared" si="5"/>
        <v>2839.0322580645161</v>
      </c>
      <c r="L31" s="18"/>
      <c r="M31" s="12">
        <v>0</v>
      </c>
      <c r="N31" s="53">
        <f t="shared" si="6"/>
        <v>499.88606096478247</v>
      </c>
      <c r="O31" s="25"/>
      <c r="P31" s="12">
        <v>0</v>
      </c>
      <c r="Q31" s="53">
        <f t="shared" si="7"/>
        <v>46.081680970701392</v>
      </c>
      <c r="R31" s="25"/>
    </row>
    <row r="32" spans="1:22" s="8" customFormat="1" x14ac:dyDescent="0.2">
      <c r="A32" s="76"/>
      <c r="B32" s="17"/>
      <c r="C32" s="7" t="s">
        <v>15</v>
      </c>
      <c r="H32" s="6">
        <v>5</v>
      </c>
      <c r="I32" s="7" t="s">
        <v>15</v>
      </c>
      <c r="J32" s="33"/>
      <c r="K32" s="54">
        <f t="shared" si="5"/>
        <v>1765.3160352880125</v>
      </c>
      <c r="L32" s="18"/>
      <c r="M32" s="33"/>
      <c r="N32" s="53">
        <f t="shared" si="6"/>
        <v>196.60612350804359</v>
      </c>
      <c r="O32" s="25"/>
      <c r="P32" s="33"/>
      <c r="Q32" s="53">
        <f t="shared" si="7"/>
        <v>32.077841203943954</v>
      </c>
      <c r="R32" s="25"/>
    </row>
    <row r="33" spans="1:18" s="8" customFormat="1" x14ac:dyDescent="0.2">
      <c r="A33" s="76"/>
      <c r="B33" s="17"/>
      <c r="C33" s="7" t="s">
        <v>16</v>
      </c>
      <c r="H33" s="6">
        <v>6</v>
      </c>
      <c r="I33" s="7" t="s">
        <v>16</v>
      </c>
      <c r="J33" s="12">
        <v>896</v>
      </c>
      <c r="K33" s="54">
        <f t="shared" si="5"/>
        <v>1515.6241357636707</v>
      </c>
      <c r="L33" s="18"/>
      <c r="M33" s="12">
        <v>4</v>
      </c>
      <c r="N33" s="53">
        <f t="shared" si="6"/>
        <v>90.957888120678817</v>
      </c>
      <c r="O33" s="25"/>
      <c r="P33" s="12">
        <v>3</v>
      </c>
      <c r="Q33" s="53">
        <f t="shared" si="7"/>
        <v>19.417976115650532</v>
      </c>
      <c r="R33" s="25"/>
    </row>
    <row r="34" spans="1:18" s="8" customFormat="1" x14ac:dyDescent="0.2">
      <c r="A34" s="76"/>
      <c r="B34" s="17"/>
      <c r="C34" s="7" t="s">
        <v>17</v>
      </c>
      <c r="H34" s="6">
        <v>7</v>
      </c>
      <c r="I34" s="7" t="s">
        <v>17</v>
      </c>
      <c r="J34" s="12">
        <v>1322</v>
      </c>
      <c r="K34" s="56">
        <f t="shared" si="5"/>
        <v>0</v>
      </c>
      <c r="L34" s="18"/>
      <c r="M34" s="12">
        <v>8</v>
      </c>
      <c r="N34" s="55">
        <f t="shared" si="6"/>
        <v>0</v>
      </c>
      <c r="O34" s="25"/>
      <c r="P34" s="12">
        <v>3</v>
      </c>
      <c r="Q34" s="55">
        <f t="shared" si="7"/>
        <v>0</v>
      </c>
      <c r="R34" s="25"/>
    </row>
    <row r="35" spans="1:18" s="8" customFormat="1" x14ac:dyDescent="0.2">
      <c r="A35" s="76"/>
      <c r="B35" s="17"/>
      <c r="C35" s="7" t="s">
        <v>18</v>
      </c>
      <c r="H35" s="6">
        <v>8</v>
      </c>
      <c r="I35" s="7" t="s">
        <v>18</v>
      </c>
      <c r="J35" s="33"/>
      <c r="K35" s="54">
        <f t="shared" si="5"/>
        <v>1129.8145639288739</v>
      </c>
      <c r="L35" s="18"/>
      <c r="M35" s="33"/>
      <c r="N35" s="53">
        <f t="shared" si="6"/>
        <v>61.016088060965281</v>
      </c>
      <c r="O35" s="25"/>
      <c r="P35" s="33"/>
      <c r="Q35" s="53">
        <f t="shared" si="7"/>
        <v>10.169348010160881</v>
      </c>
      <c r="R35" s="25"/>
    </row>
    <row r="36" spans="1:18" s="8" customFormat="1" x14ac:dyDescent="0.2">
      <c r="A36" s="76"/>
      <c r="B36" s="17"/>
      <c r="C36" s="7" t="s">
        <v>19</v>
      </c>
      <c r="H36" s="6">
        <v>9</v>
      </c>
      <c r="I36" s="7" t="s">
        <v>19</v>
      </c>
      <c r="J36" s="33"/>
      <c r="K36" s="54">
        <f t="shared" si="5"/>
        <v>447.36290322580646</v>
      </c>
      <c r="L36" s="18"/>
      <c r="M36" s="33"/>
      <c r="N36" s="53">
        <f t="shared" si="6"/>
        <v>36.701612903225808</v>
      </c>
      <c r="O36" s="25"/>
      <c r="P36" s="33"/>
      <c r="Q36" s="53">
        <f t="shared" si="7"/>
        <v>7.935483870967742</v>
      </c>
      <c r="R36" s="25"/>
    </row>
    <row r="37" spans="1:18" s="8" customFormat="1" x14ac:dyDescent="0.2">
      <c r="A37" s="76"/>
      <c r="B37" s="17"/>
      <c r="C37" s="7" t="s">
        <v>20</v>
      </c>
      <c r="H37" s="6">
        <v>10</v>
      </c>
      <c r="I37" s="7" t="s">
        <v>20</v>
      </c>
      <c r="J37" s="33"/>
      <c r="K37" s="54">
        <f t="shared" si="5"/>
        <v>898.41494435612083</v>
      </c>
      <c r="L37" s="18"/>
      <c r="M37" s="33"/>
      <c r="N37" s="53">
        <f t="shared" si="6"/>
        <v>313.74801271860093</v>
      </c>
      <c r="O37" s="25"/>
      <c r="P37" s="33"/>
      <c r="Q37" s="53">
        <f t="shared" si="7"/>
        <v>40.837042925278219</v>
      </c>
      <c r="R37" s="25"/>
    </row>
    <row r="38" spans="1:18" s="8" customFormat="1" x14ac:dyDescent="0.2">
      <c r="A38" s="76"/>
      <c r="B38" s="17"/>
      <c r="C38" s="7" t="s">
        <v>21</v>
      </c>
      <c r="H38" s="6">
        <v>11</v>
      </c>
      <c r="I38" s="7" t="s">
        <v>21</v>
      </c>
      <c r="J38" s="33"/>
      <c r="K38" s="54">
        <f t="shared" si="5"/>
        <v>961.93788819875783</v>
      </c>
      <c r="L38" s="18"/>
      <c r="M38" s="33"/>
      <c r="N38" s="53">
        <f t="shared" si="6"/>
        <v>130.80745341614909</v>
      </c>
      <c r="O38" s="25"/>
      <c r="P38" s="33"/>
      <c r="Q38" s="53">
        <f t="shared" si="7"/>
        <v>41.254658385093165</v>
      </c>
      <c r="R38" s="25"/>
    </row>
    <row r="39" spans="1:18" s="8" customFormat="1" x14ac:dyDescent="0.2">
      <c r="A39" s="76"/>
      <c r="B39" s="17"/>
      <c r="C39" s="7" t="s">
        <v>22</v>
      </c>
      <c r="H39" s="6">
        <v>12</v>
      </c>
      <c r="I39" s="7" t="s">
        <v>22</v>
      </c>
      <c r="J39" s="12">
        <v>193</v>
      </c>
      <c r="K39" s="54">
        <f t="shared" si="5"/>
        <v>1064.516129032258</v>
      </c>
      <c r="L39" s="18"/>
      <c r="M39" s="12">
        <v>0</v>
      </c>
      <c r="N39" s="53">
        <f t="shared" si="6"/>
        <v>29.032258064516132</v>
      </c>
      <c r="O39" s="25"/>
      <c r="P39" s="12">
        <v>7</v>
      </c>
      <c r="Q39" s="53">
        <f t="shared" si="7"/>
        <v>6.4516129032258061</v>
      </c>
      <c r="R39" s="25"/>
    </row>
    <row r="40" spans="1:18" s="8" customFormat="1" x14ac:dyDescent="0.2">
      <c r="A40" s="76"/>
      <c r="B40" s="17"/>
      <c r="C40" s="7" t="s">
        <v>23</v>
      </c>
      <c r="H40" s="6">
        <v>13</v>
      </c>
      <c r="I40" s="7" t="s">
        <v>23</v>
      </c>
      <c r="J40" s="12">
        <v>820</v>
      </c>
      <c r="K40" s="54">
        <f t="shared" si="5"/>
        <v>390.10133333333334</v>
      </c>
      <c r="L40" s="18"/>
      <c r="M40" s="12">
        <v>8</v>
      </c>
      <c r="N40" s="53">
        <f t="shared" si="6"/>
        <v>42.816000000000003</v>
      </c>
      <c r="O40" s="25"/>
      <c r="P40" s="12">
        <v>3</v>
      </c>
      <c r="Q40" s="53">
        <f t="shared" si="7"/>
        <v>13.082666666666666</v>
      </c>
      <c r="R40" s="25"/>
    </row>
    <row r="41" spans="1:18" s="8" customFormat="1" x14ac:dyDescent="0.2">
      <c r="A41" s="76"/>
      <c r="B41" s="17"/>
      <c r="C41" s="7" t="s">
        <v>24</v>
      </c>
      <c r="H41" s="6">
        <v>14</v>
      </c>
      <c r="I41" s="7" t="s">
        <v>24</v>
      </c>
      <c r="J41" s="12">
        <v>976</v>
      </c>
      <c r="K41" s="54">
        <f t="shared" si="5"/>
        <v>68.78125</v>
      </c>
      <c r="L41" s="18"/>
      <c r="M41" s="12">
        <v>4</v>
      </c>
      <c r="N41" s="53">
        <f t="shared" si="6"/>
        <v>2.21875</v>
      </c>
      <c r="O41" s="25"/>
      <c r="P41" s="12">
        <v>4</v>
      </c>
      <c r="Q41" s="53">
        <f t="shared" si="7"/>
        <v>0</v>
      </c>
      <c r="R41" s="25"/>
    </row>
    <row r="42" spans="1:18" s="8" customFormat="1" x14ac:dyDescent="0.2">
      <c r="A42" s="76"/>
      <c r="B42" s="17"/>
      <c r="C42" s="7" t="s">
        <v>25</v>
      </c>
      <c r="H42" s="6">
        <v>15</v>
      </c>
      <c r="I42" s="7" t="s">
        <v>25</v>
      </c>
      <c r="J42" s="12">
        <v>1187</v>
      </c>
      <c r="K42" s="56">
        <f t="shared" si="5"/>
        <v>0</v>
      </c>
      <c r="L42" s="18"/>
      <c r="M42" s="12">
        <v>7</v>
      </c>
      <c r="N42" s="55">
        <f t="shared" si="6"/>
        <v>0</v>
      </c>
      <c r="O42" s="25"/>
      <c r="P42" s="12">
        <v>9</v>
      </c>
      <c r="Q42" s="55">
        <f t="shared" si="7"/>
        <v>0</v>
      </c>
      <c r="R42" s="25"/>
    </row>
    <row r="43" spans="1:18" s="8" customFormat="1" x14ac:dyDescent="0.2">
      <c r="A43" s="76"/>
      <c r="B43" s="17"/>
      <c r="C43" s="20" t="s">
        <v>47</v>
      </c>
      <c r="H43" s="19"/>
      <c r="I43" s="20" t="s">
        <v>47</v>
      </c>
      <c r="J43" s="21">
        <f>SUM(J28:J42)</f>
        <v>6017</v>
      </c>
      <c r="K43" s="21">
        <f t="shared" ref="K43" si="8">SUM(K28:K42)</f>
        <v>13232.297116304941</v>
      </c>
      <c r="L43" s="21">
        <f t="shared" ref="L43" si="9">SUM(L28:L42)</f>
        <v>0</v>
      </c>
      <c r="M43" s="21">
        <f>SUM(M28:M42)</f>
        <v>34</v>
      </c>
      <c r="N43" s="21">
        <f t="shared" ref="N43" si="10">SUM(N28:N42)</f>
        <v>1546.7811310298277</v>
      </c>
      <c r="O43" s="21">
        <f t="shared" ref="O43" si="11">SUM(O28:O42)</f>
        <v>0</v>
      </c>
      <c r="P43" s="21">
        <f>SUM(P28:P42)</f>
        <v>33</v>
      </c>
      <c r="Q43" s="21">
        <f t="shared" ref="Q43" si="12">SUM(Q28:Q42)</f>
        <v>260.92175266523134</v>
      </c>
      <c r="R43" s="21">
        <f t="shared" ref="R43" si="13">SUM(R28:R42)</f>
        <v>0</v>
      </c>
    </row>
    <row r="44" spans="1:18" s="8" customFormat="1" ht="85" x14ac:dyDescent="0.2">
      <c r="A44" s="76"/>
      <c r="B44" s="17"/>
      <c r="C44" s="14" t="s">
        <v>37</v>
      </c>
      <c r="H44" s="13"/>
      <c r="I44" s="14" t="s">
        <v>37</v>
      </c>
      <c r="J44" s="14"/>
      <c r="K44" s="14"/>
      <c r="L44" s="14" t="s">
        <v>42</v>
      </c>
      <c r="M44" s="13"/>
      <c r="N44" s="13"/>
      <c r="O44" s="13" t="s">
        <v>42</v>
      </c>
      <c r="P44" s="13"/>
      <c r="Q44" s="13"/>
      <c r="R44" s="13" t="s">
        <v>42</v>
      </c>
    </row>
    <row r="45" spans="1:18" s="8" customFormat="1" ht="17" x14ac:dyDescent="0.2">
      <c r="A45" s="76"/>
      <c r="B45" s="17"/>
      <c r="C45" s="10" t="s">
        <v>40</v>
      </c>
      <c r="H45" s="9"/>
      <c r="I45" s="10" t="s">
        <v>40</v>
      </c>
      <c r="J45" s="10"/>
      <c r="K45" s="10"/>
      <c r="L45" s="10"/>
      <c r="M45" s="9"/>
      <c r="N45" s="9"/>
      <c r="O45" s="9"/>
      <c r="P45" s="9"/>
      <c r="Q45" s="9"/>
      <c r="R45" s="9"/>
    </row>
    <row r="47" spans="1:18" x14ac:dyDescent="0.2">
      <c r="I47" t="s">
        <v>99</v>
      </c>
      <c r="K47" t="s">
        <v>100</v>
      </c>
      <c r="N47" s="2" t="s">
        <v>101</v>
      </c>
      <c r="Q47" s="2" t="s">
        <v>102</v>
      </c>
    </row>
    <row r="48" spans="1:18" x14ac:dyDescent="0.2">
      <c r="I48" s="7" t="s">
        <v>11</v>
      </c>
      <c r="K48" s="50">
        <v>0.90764572293716883</v>
      </c>
      <c r="N48" s="50">
        <v>7.267221801665405E-2</v>
      </c>
      <c r="Q48" s="50">
        <v>1.968205904617714E-2</v>
      </c>
    </row>
    <row r="49" spans="9:17" x14ac:dyDescent="0.2">
      <c r="I49" s="7" t="s">
        <v>12</v>
      </c>
      <c r="K49" s="50">
        <v>0.94600431965442766</v>
      </c>
      <c r="N49" s="50">
        <v>4.4276457883369327E-2</v>
      </c>
      <c r="Q49" s="50">
        <v>9.7192224622030237E-3</v>
      </c>
    </row>
    <row r="50" spans="9:17" x14ac:dyDescent="0.2">
      <c r="I50" s="7" t="s">
        <v>13</v>
      </c>
      <c r="K50" s="50">
        <v>0</v>
      </c>
      <c r="N50" s="50">
        <v>0</v>
      </c>
      <c r="Q50" s="50">
        <v>1</v>
      </c>
    </row>
    <row r="51" spans="9:17" x14ac:dyDescent="0.2">
      <c r="I51" s="7" t="s">
        <v>14</v>
      </c>
      <c r="K51" s="50">
        <v>0.83870967741935487</v>
      </c>
      <c r="N51" s="50">
        <v>0.14767682746374666</v>
      </c>
      <c r="Q51" s="50">
        <v>1.3613495116898491E-2</v>
      </c>
    </row>
    <row r="52" spans="9:17" x14ac:dyDescent="0.2">
      <c r="I52" s="7" t="s">
        <v>15</v>
      </c>
      <c r="K52" s="50">
        <v>0.88531395952257397</v>
      </c>
      <c r="N52" s="50">
        <v>9.8598858329008818E-2</v>
      </c>
      <c r="Q52" s="50">
        <v>1.6087182148417228E-2</v>
      </c>
    </row>
    <row r="53" spans="9:17" x14ac:dyDescent="0.2">
      <c r="I53" s="7" t="s">
        <v>16</v>
      </c>
      <c r="K53" s="50">
        <v>0.93211816467630426</v>
      </c>
      <c r="N53" s="50">
        <v>5.5939660590823378E-2</v>
      </c>
      <c r="Q53" s="50">
        <v>1.1942174732872407E-2</v>
      </c>
    </row>
    <row r="54" spans="9:17" x14ac:dyDescent="0.2">
      <c r="I54" s="7" t="s">
        <v>17</v>
      </c>
      <c r="K54" s="51"/>
      <c r="N54" s="51"/>
      <c r="Q54" s="51"/>
    </row>
    <row r="55" spans="9:17" x14ac:dyDescent="0.2">
      <c r="I55" s="7" t="s">
        <v>18</v>
      </c>
      <c r="K55" s="50">
        <v>0.94072819644369177</v>
      </c>
      <c r="N55" s="50">
        <v>5.0804403048264182E-2</v>
      </c>
      <c r="Q55" s="50">
        <v>8.4674005080440304E-3</v>
      </c>
    </row>
    <row r="56" spans="9:17" x14ac:dyDescent="0.2">
      <c r="I56" s="7" t="s">
        <v>19</v>
      </c>
      <c r="K56" s="50">
        <v>0.90927419354838712</v>
      </c>
      <c r="N56" s="50">
        <v>7.459677419354839E-2</v>
      </c>
      <c r="Q56" s="50">
        <v>1.6129032258064516E-2</v>
      </c>
    </row>
    <row r="57" spans="9:17" x14ac:dyDescent="0.2">
      <c r="I57" s="7" t="s">
        <v>20</v>
      </c>
      <c r="K57" s="50">
        <v>0.71701112877583462</v>
      </c>
      <c r="N57" s="50">
        <v>0.25039745627980919</v>
      </c>
      <c r="Q57" s="50">
        <v>3.259141494435612E-2</v>
      </c>
    </row>
    <row r="58" spans="9:17" x14ac:dyDescent="0.2">
      <c r="I58" s="7" t="s">
        <v>21</v>
      </c>
      <c r="K58" s="50">
        <v>0.84826974267968058</v>
      </c>
      <c r="N58" s="50">
        <v>0.11535048802129548</v>
      </c>
      <c r="Q58" s="50">
        <v>3.6379769299023958E-2</v>
      </c>
    </row>
    <row r="59" spans="9:17" x14ac:dyDescent="0.2">
      <c r="I59" s="7" t="s">
        <v>22</v>
      </c>
      <c r="K59" s="50">
        <v>0.967741935483871</v>
      </c>
      <c r="N59" s="50">
        <v>2.6392961876832845E-2</v>
      </c>
      <c r="Q59" s="50">
        <v>5.8651026392961877E-3</v>
      </c>
    </row>
    <row r="60" spans="9:17" x14ac:dyDescent="0.2">
      <c r="I60" s="7" t="s">
        <v>23</v>
      </c>
      <c r="K60" s="50">
        <v>0.8746666666666667</v>
      </c>
      <c r="N60" s="50">
        <v>9.6000000000000002E-2</v>
      </c>
      <c r="Q60" s="50">
        <v>2.9333333333333333E-2</v>
      </c>
    </row>
    <row r="61" spans="9:17" x14ac:dyDescent="0.2">
      <c r="I61" s="7" t="s">
        <v>24</v>
      </c>
      <c r="K61" s="50">
        <v>0.96875</v>
      </c>
      <c r="N61" s="50">
        <v>3.125E-2</v>
      </c>
      <c r="Q61" s="50">
        <v>0</v>
      </c>
    </row>
    <row r="62" spans="9:17" x14ac:dyDescent="0.2">
      <c r="I62" s="7" t="s">
        <v>25</v>
      </c>
      <c r="K62" s="51"/>
      <c r="N62" s="51"/>
      <c r="Q62" s="51"/>
    </row>
    <row r="63" spans="9:17" x14ac:dyDescent="0.2">
      <c r="I63" s="20" t="s">
        <v>47</v>
      </c>
      <c r="K63" s="52">
        <v>0.8792692071715863</v>
      </c>
      <c r="N63" s="52">
        <v>0.10375622060126798</v>
      </c>
      <c r="Q63" s="52">
        <v>1.6974572227145681E-2</v>
      </c>
    </row>
  </sheetData>
  <mergeCells count="11">
    <mergeCell ref="T3:V3"/>
    <mergeCell ref="M3:O3"/>
    <mergeCell ref="C3:C4"/>
    <mergeCell ref="B3:B4"/>
    <mergeCell ref="F3:F4"/>
    <mergeCell ref="J26:L26"/>
    <mergeCell ref="M26:O26"/>
    <mergeCell ref="P26:R26"/>
    <mergeCell ref="G3:I3"/>
    <mergeCell ref="J3:L3"/>
    <mergeCell ref="Q3:S3"/>
  </mergeCells>
  <pageMargins left="0.7" right="0.7" top="0.75" bottom="0.75" header="0.3" footer="0.3"/>
  <headerFooter>
    <oddFooter>&amp;C_x000D_&amp;1#&amp;"Calibri"&amp;8&amp;K000000 INTERNAL. This information is accessible to ADB Management and Staff. It may be shared outside ADB with appropriate permission.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C013-E9AC-8443-9CEB-086D2537FE53}">
  <dimension ref="A1:AL33"/>
  <sheetViews>
    <sheetView zoomScale="119" zoomScaleNormal="119" workbookViewId="0">
      <pane xSplit="3" ySplit="4" topLeftCell="Y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baseColWidth="10" defaultRowHeight="16" x14ac:dyDescent="0.2"/>
  <cols>
    <col min="1" max="1" width="10.83203125" style="72"/>
    <col min="2" max="2" width="6.5" style="2" customWidth="1"/>
    <col min="3" max="4" width="12.5" customWidth="1"/>
    <col min="5" max="5" width="11.33203125" customWidth="1"/>
    <col min="6" max="6" width="18.83203125" customWidth="1"/>
    <col min="7" max="7" width="13.6640625" customWidth="1"/>
    <col min="8" max="8" width="12" customWidth="1"/>
    <col min="9" max="9" width="12.5" customWidth="1"/>
    <col min="10" max="10" width="13.33203125" customWidth="1"/>
    <col min="11" max="11" width="12.33203125" customWidth="1"/>
    <col min="12" max="12" width="15.1640625" customWidth="1"/>
    <col min="13" max="13" width="11.6640625" customWidth="1"/>
    <col min="14" max="14" width="13.5" customWidth="1"/>
    <col min="15" max="15" width="14.6640625" customWidth="1"/>
    <col min="16" max="16" width="11.6640625" customWidth="1"/>
    <col min="17" max="17" width="13" customWidth="1"/>
    <col min="18" max="18" width="11.6640625" customWidth="1"/>
    <col min="19" max="19" width="12.5" customWidth="1"/>
    <col min="20" max="20" width="15" customWidth="1"/>
    <col min="21" max="21" width="11.5" customWidth="1"/>
    <col min="22" max="22" width="19.1640625" customWidth="1"/>
    <col min="23" max="23" width="14.33203125" customWidth="1"/>
    <col min="24" max="24" width="15.5" customWidth="1"/>
    <col min="25" max="25" width="23.1640625" customWidth="1"/>
    <col min="26" max="26" width="14.5" customWidth="1"/>
    <col min="27" max="27" width="15" customWidth="1"/>
    <col min="28" max="28" width="14.33203125" customWidth="1"/>
    <col min="29" max="29" width="15.5" customWidth="1"/>
    <col min="30" max="30" width="23.1640625" customWidth="1"/>
    <col min="31" max="31" width="14.5" customWidth="1"/>
  </cols>
  <sheetData>
    <row r="1" spans="1:38" s="72" customFormat="1" x14ac:dyDescent="0.2">
      <c r="B1" s="77"/>
      <c r="C1" s="78" t="s">
        <v>5</v>
      </c>
      <c r="D1" s="78">
        <v>4.5999999999999996</v>
      </c>
      <c r="E1" s="72" t="s">
        <v>49</v>
      </c>
    </row>
    <row r="2" spans="1:38" s="73" customFormat="1" x14ac:dyDescent="0.2">
      <c r="B2" s="131"/>
      <c r="F2" s="132"/>
    </row>
    <row r="3" spans="1:38" s="64" customFormat="1" ht="34" customHeight="1" x14ac:dyDescent="0.2">
      <c r="A3" s="132"/>
      <c r="B3" s="273"/>
      <c r="C3" s="273" t="s">
        <v>1</v>
      </c>
      <c r="D3" s="44" t="s">
        <v>124</v>
      </c>
      <c r="E3" s="44" t="s">
        <v>98</v>
      </c>
      <c r="F3" s="275" t="s">
        <v>55</v>
      </c>
      <c r="G3" s="267" t="s">
        <v>9</v>
      </c>
      <c r="H3" s="267"/>
      <c r="I3" s="267"/>
      <c r="J3" s="267"/>
      <c r="K3" s="267"/>
      <c r="L3" s="134"/>
      <c r="M3" s="268" t="s">
        <v>10</v>
      </c>
      <c r="N3" s="268"/>
      <c r="O3" s="268"/>
      <c r="P3" s="268"/>
      <c r="Q3" s="268"/>
      <c r="R3" s="268" t="s">
        <v>48</v>
      </c>
      <c r="S3" s="268"/>
      <c r="T3" s="268"/>
      <c r="U3" s="268"/>
      <c r="V3" s="272"/>
      <c r="W3" s="95"/>
      <c r="X3" s="269" t="s">
        <v>43</v>
      </c>
      <c r="Y3" s="270"/>
      <c r="Z3" s="270"/>
      <c r="AA3" s="270"/>
      <c r="AB3" s="270"/>
      <c r="AC3" s="277" t="s">
        <v>62</v>
      </c>
      <c r="AD3" s="277"/>
      <c r="AE3" s="277"/>
      <c r="AF3" s="277"/>
      <c r="AG3" s="277"/>
      <c r="AH3" s="271" t="s">
        <v>44</v>
      </c>
      <c r="AI3" s="271"/>
      <c r="AJ3" s="271"/>
      <c r="AK3" s="271"/>
      <c r="AL3" s="271"/>
    </row>
    <row r="4" spans="1:38" s="135" customFormat="1" ht="51" x14ac:dyDescent="0.2">
      <c r="A4" s="134"/>
      <c r="B4" s="274"/>
      <c r="C4" s="274"/>
      <c r="D4" s="44" t="s">
        <v>97</v>
      </c>
      <c r="E4" s="44" t="s">
        <v>137</v>
      </c>
      <c r="F4" s="276"/>
      <c r="G4" s="44" t="s">
        <v>87</v>
      </c>
      <c r="H4" s="44" t="s">
        <v>86</v>
      </c>
      <c r="I4" s="44" t="s">
        <v>7</v>
      </c>
      <c r="J4" s="44" t="s">
        <v>8</v>
      </c>
      <c r="K4" s="44" t="s">
        <v>4</v>
      </c>
      <c r="L4" s="134"/>
      <c r="M4" s="63" t="s">
        <v>87</v>
      </c>
      <c r="N4" s="63" t="s">
        <v>86</v>
      </c>
      <c r="O4" s="63" t="s">
        <v>7</v>
      </c>
      <c r="P4" s="63" t="s">
        <v>8</v>
      </c>
      <c r="Q4" s="63" t="s">
        <v>4</v>
      </c>
      <c r="R4" s="63" t="s">
        <v>87</v>
      </c>
      <c r="S4" s="63" t="s">
        <v>86</v>
      </c>
      <c r="T4" s="63" t="s">
        <v>7</v>
      </c>
      <c r="U4" s="63" t="s">
        <v>8</v>
      </c>
      <c r="V4" s="86" t="s">
        <v>4</v>
      </c>
      <c r="W4" s="95"/>
      <c r="X4" s="90" t="s">
        <v>2</v>
      </c>
      <c r="Y4" s="61" t="s">
        <v>6</v>
      </c>
      <c r="Z4" s="61" t="s">
        <v>7</v>
      </c>
      <c r="AA4" s="61" t="s">
        <v>8</v>
      </c>
      <c r="AB4" s="61" t="s">
        <v>4</v>
      </c>
      <c r="AC4" s="133" t="s">
        <v>2</v>
      </c>
      <c r="AD4" s="133" t="s">
        <v>6</v>
      </c>
      <c r="AE4" s="133" t="s">
        <v>7</v>
      </c>
      <c r="AF4" s="133" t="s">
        <v>8</v>
      </c>
      <c r="AG4" s="133" t="s">
        <v>4</v>
      </c>
      <c r="AH4" s="67" t="s">
        <v>2</v>
      </c>
      <c r="AI4" s="67" t="s">
        <v>6</v>
      </c>
      <c r="AJ4" s="67" t="s">
        <v>7</v>
      </c>
      <c r="AK4" s="67" t="s">
        <v>8</v>
      </c>
      <c r="AL4" s="67" t="s">
        <v>4</v>
      </c>
    </row>
    <row r="5" spans="1:38" x14ac:dyDescent="0.2">
      <c r="B5" s="4">
        <v>1</v>
      </c>
      <c r="C5" s="3" t="s">
        <v>26</v>
      </c>
      <c r="D5" s="16">
        <v>4268.0666778190771</v>
      </c>
      <c r="E5" s="16">
        <f t="shared" ref="E5:E14" si="0">D5/$D$1</f>
        <v>927.84058213458206</v>
      </c>
      <c r="F5" s="3" t="s">
        <v>87</v>
      </c>
      <c r="G5" s="12" t="s">
        <v>36</v>
      </c>
      <c r="H5" s="33" t="s">
        <v>45</v>
      </c>
      <c r="I5" s="33" t="s">
        <v>45</v>
      </c>
      <c r="J5" s="33" t="s">
        <v>45</v>
      </c>
      <c r="K5" s="12" t="s">
        <v>36</v>
      </c>
      <c r="L5" s="77"/>
      <c r="M5" s="4">
        <f>SUM(L23,S23)</f>
        <v>477</v>
      </c>
      <c r="N5" s="138">
        <f>SUM(M23,T23)</f>
        <v>0</v>
      </c>
      <c r="O5" s="138">
        <f>SUM(N23,U23)</f>
        <v>0</v>
      </c>
      <c r="P5" s="138" t="s">
        <v>59</v>
      </c>
      <c r="Q5" s="4" t="s">
        <v>59</v>
      </c>
      <c r="R5" s="57">
        <f t="shared" ref="R5:R15" si="1">L23/$E5</f>
        <v>0.49793036529737339</v>
      </c>
      <c r="S5" s="181">
        <f t="shared" ref="S5:S15" si="2">M23/$E5</f>
        <v>0</v>
      </c>
      <c r="T5" s="181">
        <f t="shared" ref="T5:T15" si="3">N23/$E5</f>
        <v>0</v>
      </c>
      <c r="U5" s="181" t="s">
        <v>59</v>
      </c>
      <c r="V5" s="4" t="s">
        <v>59</v>
      </c>
      <c r="W5" s="128"/>
      <c r="X5" s="124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x14ac:dyDescent="0.2">
      <c r="B6" s="4">
        <v>2</v>
      </c>
      <c r="C6" s="3" t="s">
        <v>27</v>
      </c>
      <c r="D6" s="16">
        <v>2454.0313170108184</v>
      </c>
      <c r="E6" s="16">
        <f t="shared" si="0"/>
        <v>533.48506891539535</v>
      </c>
      <c r="F6" s="3" t="s">
        <v>87</v>
      </c>
      <c r="G6" s="12" t="s">
        <v>36</v>
      </c>
      <c r="H6" s="12" t="s">
        <v>36</v>
      </c>
      <c r="I6" s="33" t="s">
        <v>45</v>
      </c>
      <c r="J6" s="33" t="s">
        <v>45</v>
      </c>
      <c r="K6" s="12" t="s">
        <v>36</v>
      </c>
      <c r="L6" s="77"/>
      <c r="M6" s="4">
        <f t="shared" ref="M6:O14" si="4">SUM(L24,S24)</f>
        <v>563</v>
      </c>
      <c r="N6" s="4">
        <f t="shared" si="4"/>
        <v>22</v>
      </c>
      <c r="O6" s="138">
        <f t="shared" si="4"/>
        <v>0</v>
      </c>
      <c r="P6" s="138" t="s">
        <v>59</v>
      </c>
      <c r="Q6" s="4" t="s">
        <v>59</v>
      </c>
      <c r="R6" s="57">
        <f t="shared" si="1"/>
        <v>0.9953418210551841</v>
      </c>
      <c r="S6" s="24">
        <f t="shared" si="2"/>
        <v>1.4995733650548914E-2</v>
      </c>
      <c r="T6" s="181">
        <f t="shared" si="3"/>
        <v>0</v>
      </c>
      <c r="U6" s="181" t="s">
        <v>59</v>
      </c>
      <c r="V6" s="4" t="s">
        <v>59</v>
      </c>
      <c r="W6" s="128"/>
      <c r="X6" s="124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x14ac:dyDescent="0.2">
      <c r="B7" s="4">
        <v>3</v>
      </c>
      <c r="C7" s="3" t="s">
        <v>28</v>
      </c>
      <c r="D7" s="16">
        <v>6636.4798067091515</v>
      </c>
      <c r="E7" s="16">
        <f t="shared" si="0"/>
        <v>1442.7130014585114</v>
      </c>
      <c r="F7" s="3" t="s">
        <v>87</v>
      </c>
      <c r="G7" s="12" t="s">
        <v>36</v>
      </c>
      <c r="H7" s="12" t="s">
        <v>36</v>
      </c>
      <c r="I7" s="12" t="s">
        <v>36</v>
      </c>
      <c r="J7" s="12" t="s">
        <v>36</v>
      </c>
      <c r="K7" s="12" t="s">
        <v>36</v>
      </c>
      <c r="L7" s="77"/>
      <c r="M7" s="4">
        <f t="shared" si="4"/>
        <v>826</v>
      </c>
      <c r="N7" s="4">
        <f t="shared" si="4"/>
        <v>79</v>
      </c>
      <c r="O7" s="4">
        <f t="shared" si="4"/>
        <v>74</v>
      </c>
      <c r="P7" s="4" t="s">
        <v>59</v>
      </c>
      <c r="Q7" s="4" t="s">
        <v>59</v>
      </c>
      <c r="R7" s="57">
        <f t="shared" si="1"/>
        <v>0.53718237737964059</v>
      </c>
      <c r="S7" s="24">
        <f t="shared" si="2"/>
        <v>2.7725542058304031E-2</v>
      </c>
      <c r="T7" s="24">
        <f t="shared" si="3"/>
        <v>3.3963789021422434E-2</v>
      </c>
      <c r="U7" s="24" t="s">
        <v>59</v>
      </c>
      <c r="V7" s="4" t="s">
        <v>59</v>
      </c>
      <c r="W7" s="128"/>
      <c r="X7" s="124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x14ac:dyDescent="0.2">
      <c r="B8" s="4">
        <v>4</v>
      </c>
      <c r="C8" s="3" t="s">
        <v>29</v>
      </c>
      <c r="D8" s="16">
        <v>4398.6344147032114</v>
      </c>
      <c r="E8" s="16">
        <f t="shared" si="0"/>
        <v>956.22487276156778</v>
      </c>
      <c r="F8" s="3" t="s">
        <v>87</v>
      </c>
      <c r="G8" s="12" t="s">
        <v>36</v>
      </c>
      <c r="H8" s="32" t="s">
        <v>36</v>
      </c>
      <c r="I8" s="33" t="s">
        <v>45</v>
      </c>
      <c r="J8" s="12" t="s">
        <v>36</v>
      </c>
      <c r="K8" s="12" t="s">
        <v>36</v>
      </c>
      <c r="L8" s="77"/>
      <c r="M8" s="4">
        <f t="shared" si="4"/>
        <v>785</v>
      </c>
      <c r="N8" s="4">
        <f t="shared" si="4"/>
        <v>5</v>
      </c>
      <c r="O8" s="138">
        <f t="shared" si="4"/>
        <v>0</v>
      </c>
      <c r="P8" s="4" t="s">
        <v>59</v>
      </c>
      <c r="Q8" s="4" t="s">
        <v>59</v>
      </c>
      <c r="R8" s="57">
        <f t="shared" si="1"/>
        <v>0.77387654418869845</v>
      </c>
      <c r="S8" s="24">
        <f t="shared" si="2"/>
        <v>4.1831164550740459E-3</v>
      </c>
      <c r="T8" s="181">
        <f t="shared" si="3"/>
        <v>0</v>
      </c>
      <c r="U8" s="24" t="s">
        <v>59</v>
      </c>
      <c r="V8" s="4" t="s">
        <v>59</v>
      </c>
      <c r="W8" s="128"/>
      <c r="X8" s="124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x14ac:dyDescent="0.2">
      <c r="B9" s="4">
        <v>5</v>
      </c>
      <c r="C9" s="3" t="s">
        <v>30</v>
      </c>
      <c r="D9" s="16">
        <v>2771.8888404090799</v>
      </c>
      <c r="E9" s="16">
        <f t="shared" si="0"/>
        <v>602.58453052371306</v>
      </c>
      <c r="F9" s="3" t="s">
        <v>87</v>
      </c>
      <c r="G9" s="12" t="s">
        <v>36</v>
      </c>
      <c r="H9" s="12" t="s">
        <v>36</v>
      </c>
      <c r="I9" s="33" t="s">
        <v>45</v>
      </c>
      <c r="J9" s="33" t="s">
        <v>45</v>
      </c>
      <c r="K9" s="12" t="s">
        <v>36</v>
      </c>
      <c r="L9" s="77"/>
      <c r="M9" s="4">
        <f t="shared" si="4"/>
        <v>616</v>
      </c>
      <c r="N9" s="4">
        <f t="shared" si="4"/>
        <v>46</v>
      </c>
      <c r="O9" s="138">
        <f t="shared" si="4"/>
        <v>0</v>
      </c>
      <c r="P9" s="138" t="s">
        <v>59</v>
      </c>
      <c r="Q9" s="4" t="s">
        <v>59</v>
      </c>
      <c r="R9" s="57">
        <f t="shared" si="1"/>
        <v>0.94758489651856381</v>
      </c>
      <c r="S9" s="24">
        <f t="shared" si="2"/>
        <v>4.9785546226894774E-2</v>
      </c>
      <c r="T9" s="181">
        <f t="shared" si="3"/>
        <v>0</v>
      </c>
      <c r="U9" s="181" t="s">
        <v>59</v>
      </c>
      <c r="V9" s="4" t="s">
        <v>59</v>
      </c>
      <c r="W9" s="128"/>
      <c r="X9" s="124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x14ac:dyDescent="0.2">
      <c r="B10" s="4">
        <v>6</v>
      </c>
      <c r="C10" s="3" t="s">
        <v>31</v>
      </c>
      <c r="D10" s="16">
        <v>3330.5475178969332</v>
      </c>
      <c r="E10" s="16">
        <f t="shared" si="0"/>
        <v>724.03206910802896</v>
      </c>
      <c r="F10" s="3" t="s">
        <v>87</v>
      </c>
      <c r="G10" s="12" t="s">
        <v>36</v>
      </c>
      <c r="H10" s="33" t="s">
        <v>45</v>
      </c>
      <c r="I10" s="33" t="s">
        <v>45</v>
      </c>
      <c r="J10" s="12" t="s">
        <v>36</v>
      </c>
      <c r="K10" s="12" t="s">
        <v>36</v>
      </c>
      <c r="L10" s="77"/>
      <c r="M10" s="4">
        <f t="shared" si="4"/>
        <v>404</v>
      </c>
      <c r="N10" s="138">
        <f t="shared" si="4"/>
        <v>0</v>
      </c>
      <c r="O10" s="138">
        <f t="shared" si="4"/>
        <v>0</v>
      </c>
      <c r="P10" s="4" t="s">
        <v>59</v>
      </c>
      <c r="Q10" s="4" t="s">
        <v>59</v>
      </c>
      <c r="R10" s="57">
        <f t="shared" si="1"/>
        <v>0.51931401389887755</v>
      </c>
      <c r="S10" s="181">
        <f t="shared" si="2"/>
        <v>0</v>
      </c>
      <c r="T10" s="181">
        <f t="shared" si="3"/>
        <v>0</v>
      </c>
      <c r="U10" s="24" t="s">
        <v>59</v>
      </c>
      <c r="V10" s="4" t="s">
        <v>59</v>
      </c>
      <c r="W10" s="128"/>
      <c r="X10" s="124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x14ac:dyDescent="0.2">
      <c r="B11" s="4">
        <v>7</v>
      </c>
      <c r="C11" s="3" t="s">
        <v>32</v>
      </c>
      <c r="D11" s="16">
        <v>1916.7771865531511</v>
      </c>
      <c r="E11" s="16">
        <f t="shared" si="0"/>
        <v>416.69069272894592</v>
      </c>
      <c r="F11" s="3" t="s">
        <v>87</v>
      </c>
      <c r="G11" s="12" t="s">
        <v>36</v>
      </c>
      <c r="H11" s="33" t="s">
        <v>45</v>
      </c>
      <c r="I11" s="33" t="s">
        <v>45</v>
      </c>
      <c r="J11" s="33" t="s">
        <v>45</v>
      </c>
      <c r="K11" s="12" t="s">
        <v>36</v>
      </c>
      <c r="L11" s="77"/>
      <c r="M11" s="4">
        <f t="shared" si="4"/>
        <v>963</v>
      </c>
      <c r="N11" s="138">
        <f t="shared" si="4"/>
        <v>0</v>
      </c>
      <c r="O11" s="138">
        <f t="shared" si="4"/>
        <v>0</v>
      </c>
      <c r="P11" s="138" t="s">
        <v>59</v>
      </c>
      <c r="Q11" s="4" t="s">
        <v>59</v>
      </c>
      <c r="R11" s="57">
        <f t="shared" si="1"/>
        <v>2.0062843125315775</v>
      </c>
      <c r="S11" s="181">
        <f t="shared" si="2"/>
        <v>0</v>
      </c>
      <c r="T11" s="181">
        <f t="shared" si="3"/>
        <v>0</v>
      </c>
      <c r="U11" s="181" t="s">
        <v>59</v>
      </c>
      <c r="V11" s="4" t="s">
        <v>59</v>
      </c>
      <c r="W11" s="128"/>
      <c r="X11" s="124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B12" s="4">
        <v>8</v>
      </c>
      <c r="C12" s="3" t="s">
        <v>33</v>
      </c>
      <c r="D12" s="16">
        <v>6479.1563860372844</v>
      </c>
      <c r="E12" s="16">
        <f t="shared" si="0"/>
        <v>1408.5122578341923</v>
      </c>
      <c r="F12" s="3" t="s">
        <v>87</v>
      </c>
      <c r="G12" s="12" t="s">
        <v>36</v>
      </c>
      <c r="H12" s="12" t="s">
        <v>36</v>
      </c>
      <c r="I12" s="33" t="s">
        <v>45</v>
      </c>
      <c r="J12" s="12" t="s">
        <v>36</v>
      </c>
      <c r="K12" s="12" t="s">
        <v>36</v>
      </c>
      <c r="L12" s="77"/>
      <c r="M12" s="4">
        <f t="shared" si="4"/>
        <v>1524</v>
      </c>
      <c r="N12" s="4">
        <f t="shared" si="4"/>
        <v>4</v>
      </c>
      <c r="O12" s="138">
        <f t="shared" si="4"/>
        <v>0</v>
      </c>
      <c r="P12" s="4" t="s">
        <v>59</v>
      </c>
      <c r="Q12" s="4" t="s">
        <v>59</v>
      </c>
      <c r="R12" s="57">
        <f t="shared" si="1"/>
        <v>0.98401699544396692</v>
      </c>
      <c r="S12" s="24">
        <f t="shared" si="2"/>
        <v>1.4199379443635887E-3</v>
      </c>
      <c r="T12" s="181">
        <f t="shared" si="3"/>
        <v>0</v>
      </c>
      <c r="U12" s="24" t="s">
        <v>59</v>
      </c>
      <c r="V12" s="4" t="s">
        <v>59</v>
      </c>
      <c r="W12" s="128"/>
      <c r="X12" s="124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x14ac:dyDescent="0.2">
      <c r="B13" s="4">
        <v>9</v>
      </c>
      <c r="C13" s="3" t="s">
        <v>34</v>
      </c>
      <c r="D13" s="16">
        <v>4323.7185000975605</v>
      </c>
      <c r="E13" s="16">
        <f t="shared" si="0"/>
        <v>939.93880436903498</v>
      </c>
      <c r="F13" s="3" t="s">
        <v>87</v>
      </c>
      <c r="G13" s="12" t="s">
        <v>36</v>
      </c>
      <c r="H13" s="33" t="s">
        <v>45</v>
      </c>
      <c r="I13" s="33" t="s">
        <v>45</v>
      </c>
      <c r="J13" s="33" t="s">
        <v>45</v>
      </c>
      <c r="K13" s="12" t="s">
        <v>36</v>
      </c>
      <c r="L13" s="77"/>
      <c r="M13" s="4">
        <f t="shared" si="4"/>
        <v>1112</v>
      </c>
      <c r="N13" s="138">
        <f t="shared" si="4"/>
        <v>0</v>
      </c>
      <c r="O13" s="138">
        <f t="shared" si="4"/>
        <v>0</v>
      </c>
      <c r="P13" s="138" t="s">
        <v>59</v>
      </c>
      <c r="Q13" s="4" t="s">
        <v>59</v>
      </c>
      <c r="R13" s="57">
        <f t="shared" si="1"/>
        <v>1.1404997804294457</v>
      </c>
      <c r="S13" s="181">
        <f t="shared" si="2"/>
        <v>0</v>
      </c>
      <c r="T13" s="181">
        <f t="shared" si="3"/>
        <v>0</v>
      </c>
      <c r="U13" s="181" t="s">
        <v>59</v>
      </c>
      <c r="V13" s="4" t="s">
        <v>59</v>
      </c>
      <c r="W13" s="128"/>
      <c r="X13" s="124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x14ac:dyDescent="0.2">
      <c r="B14" s="4">
        <v>10</v>
      </c>
      <c r="C14" s="3" t="s">
        <v>35</v>
      </c>
      <c r="D14" s="16">
        <v>6057.4868095426218</v>
      </c>
      <c r="E14" s="16">
        <f t="shared" si="0"/>
        <v>1316.8449585962223</v>
      </c>
      <c r="F14" s="3" t="s">
        <v>87</v>
      </c>
      <c r="G14" s="12" t="s">
        <v>36</v>
      </c>
      <c r="H14" s="12" t="s">
        <v>36</v>
      </c>
      <c r="I14" s="12" t="s">
        <v>36</v>
      </c>
      <c r="J14" s="12" t="s">
        <v>36</v>
      </c>
      <c r="K14" s="12" t="s">
        <v>36</v>
      </c>
      <c r="L14" s="77"/>
      <c r="M14" s="4">
        <f t="shared" si="4"/>
        <v>746</v>
      </c>
      <c r="N14" s="4">
        <f t="shared" si="4"/>
        <v>150</v>
      </c>
      <c r="O14" s="4">
        <f t="shared" si="4"/>
        <v>142</v>
      </c>
      <c r="P14" s="4" t="s">
        <v>59</v>
      </c>
      <c r="Q14" s="4" t="s">
        <v>59</v>
      </c>
      <c r="R14" s="57">
        <f t="shared" si="1"/>
        <v>0.47158171198984267</v>
      </c>
      <c r="S14" s="24">
        <f t="shared" si="2"/>
        <v>4.3285277912111161E-2</v>
      </c>
      <c r="T14" s="24">
        <f t="shared" si="3"/>
        <v>6.5307612288448419E-2</v>
      </c>
      <c r="U14" s="24" t="s">
        <v>59</v>
      </c>
      <c r="V14" s="4" t="s">
        <v>59</v>
      </c>
      <c r="W14" s="128"/>
      <c r="X14" s="124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s="1" customFormat="1" x14ac:dyDescent="0.2">
      <c r="A15" s="78"/>
      <c r="B15" s="79"/>
      <c r="C15" s="136" t="s">
        <v>47</v>
      </c>
      <c r="D15" s="137">
        <f>SUM(D5:D14)</f>
        <v>42636.787456778882</v>
      </c>
      <c r="E15" s="137">
        <f>SUM(E5:E14)</f>
        <v>9268.8668384301927</v>
      </c>
      <c r="F15" s="136"/>
      <c r="G15" s="40"/>
      <c r="H15" s="40"/>
      <c r="I15" s="246"/>
      <c r="J15" s="246"/>
      <c r="K15" s="40"/>
      <c r="L15" s="75"/>
      <c r="M15" s="40">
        <f>SUM(M5:M14)</f>
        <v>8016</v>
      </c>
      <c r="N15" s="40">
        <f>SUM(N5:N14)</f>
        <v>306</v>
      </c>
      <c r="O15" s="40">
        <f>SUM(O5:O14)</f>
        <v>216</v>
      </c>
      <c r="P15" s="40">
        <v>789</v>
      </c>
      <c r="Q15" s="40" t="s">
        <v>59</v>
      </c>
      <c r="R15" s="80">
        <f t="shared" si="1"/>
        <v>0.79513495322241667</v>
      </c>
      <c r="S15" s="80">
        <f t="shared" si="2"/>
        <v>1.5212215522979747E-2</v>
      </c>
      <c r="T15" s="80">
        <f t="shared" si="3"/>
        <v>1.456488720285295E-2</v>
      </c>
      <c r="U15" s="80">
        <f>P15/E15</f>
        <v>8.5123674096673915E-2</v>
      </c>
      <c r="V15" s="40" t="s">
        <v>59</v>
      </c>
      <c r="W15" s="127"/>
      <c r="X15" s="154" t="s">
        <v>103</v>
      </c>
      <c r="Y15" s="36" t="s">
        <v>61</v>
      </c>
      <c r="Z15" s="36" t="s">
        <v>209</v>
      </c>
      <c r="AA15" s="36" t="s">
        <v>59</v>
      </c>
      <c r="AB15" s="36" t="s">
        <v>59</v>
      </c>
      <c r="AC15" s="114"/>
      <c r="AD15" s="115">
        <v>0.14910000000000001</v>
      </c>
      <c r="AE15" s="114"/>
      <c r="AF15" s="114"/>
      <c r="AG15" s="114"/>
      <c r="AH15" s="114"/>
      <c r="AI15" s="114"/>
      <c r="AJ15" s="114"/>
      <c r="AK15" s="114"/>
      <c r="AL15" s="114"/>
    </row>
    <row r="16" spans="1:38" s="1" customFormat="1" x14ac:dyDescent="0.2">
      <c r="A16" s="78"/>
      <c r="B16" s="117"/>
      <c r="C16" s="118"/>
      <c r="D16" s="119"/>
      <c r="E16" s="119"/>
      <c r="F16" s="118"/>
      <c r="G16" s="117"/>
      <c r="H16" s="117"/>
      <c r="I16" s="118"/>
      <c r="J16" s="118"/>
      <c r="K16" s="117"/>
      <c r="L16" s="245"/>
      <c r="M16" s="117"/>
      <c r="N16" s="117"/>
      <c r="O16" s="117"/>
      <c r="P16" s="117"/>
      <c r="Q16" s="120"/>
      <c r="R16" s="120"/>
      <c r="S16" s="120"/>
      <c r="T16" s="120"/>
      <c r="U16" s="117"/>
      <c r="V16" s="127"/>
      <c r="W16" s="118"/>
      <c r="X16" s="118"/>
      <c r="Y16" s="118"/>
      <c r="Z16" s="118"/>
      <c r="AA16" s="118"/>
      <c r="AB16" s="118"/>
      <c r="AC16" s="121"/>
      <c r="AD16" s="118"/>
      <c r="AE16" s="118"/>
      <c r="AF16" s="118"/>
      <c r="AG16" s="118"/>
      <c r="AH16" s="118"/>
      <c r="AI16" s="118"/>
      <c r="AJ16" s="118"/>
      <c r="AK16" s="118"/>
    </row>
    <row r="17" spans="1:37" s="15" customFormat="1" ht="74" customHeight="1" x14ac:dyDescent="0.2">
      <c r="A17" s="112"/>
      <c r="B17" s="81"/>
      <c r="C17" s="82" t="s">
        <v>37</v>
      </c>
      <c r="D17" s="82"/>
      <c r="E17" s="82"/>
      <c r="F17" s="82"/>
      <c r="G17" s="82"/>
      <c r="H17" s="82" t="s">
        <v>60</v>
      </c>
      <c r="I17" s="82"/>
      <c r="J17" s="82"/>
      <c r="K17" s="82"/>
      <c r="L17" s="82" t="s">
        <v>185</v>
      </c>
      <c r="M17" s="82"/>
      <c r="N17" s="82"/>
      <c r="O17" s="81" t="s">
        <v>92</v>
      </c>
      <c r="P17" s="81" t="s">
        <v>95</v>
      </c>
      <c r="Q17" s="116"/>
      <c r="R17" s="81"/>
      <c r="S17" s="81"/>
      <c r="T17" s="81"/>
      <c r="U17" s="122"/>
      <c r="V17" s="129"/>
      <c r="W17" s="125"/>
      <c r="X17" s="82"/>
      <c r="Y17" s="82"/>
      <c r="Z17" s="82"/>
      <c r="AA17" s="82"/>
      <c r="AB17" s="82"/>
      <c r="AC17" s="82" t="s">
        <v>63</v>
      </c>
      <c r="AD17" s="82"/>
      <c r="AE17" s="82"/>
      <c r="AF17" s="82"/>
      <c r="AG17" s="82"/>
      <c r="AH17" s="82"/>
      <c r="AI17" s="82"/>
      <c r="AJ17" s="82"/>
      <c r="AK17" s="82"/>
    </row>
    <row r="18" spans="1:37" s="11" customFormat="1" ht="88" customHeight="1" x14ac:dyDescent="0.2">
      <c r="A18" s="113"/>
      <c r="B18" s="9"/>
      <c r="C18" s="10" t="s">
        <v>40</v>
      </c>
      <c r="D18" s="10"/>
      <c r="E18" s="10"/>
      <c r="F18" s="10"/>
      <c r="G18" s="10" t="s">
        <v>41</v>
      </c>
      <c r="H18" s="10" t="s">
        <v>41</v>
      </c>
      <c r="I18" s="10" t="s">
        <v>41</v>
      </c>
      <c r="J18" s="10" t="s">
        <v>39</v>
      </c>
      <c r="K18" s="10" t="s">
        <v>39</v>
      </c>
      <c r="L18" s="10" t="s">
        <v>93</v>
      </c>
      <c r="M18" s="10" t="s">
        <v>38</v>
      </c>
      <c r="N18" s="10" t="s">
        <v>38</v>
      </c>
      <c r="O18" s="10" t="s">
        <v>96</v>
      </c>
      <c r="P18" s="10"/>
      <c r="Q18" s="58"/>
      <c r="R18" s="10"/>
      <c r="S18" s="10"/>
      <c r="T18" s="10"/>
      <c r="U18" s="123"/>
      <c r="V18" s="130"/>
      <c r="W18" s="126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20" spans="1:37" x14ac:dyDescent="0.2">
      <c r="L20" s="1" t="s">
        <v>90</v>
      </c>
      <c r="M20" s="1"/>
      <c r="N20" s="1"/>
      <c r="O20" s="1"/>
      <c r="P20" s="1"/>
      <c r="Q20" s="1"/>
      <c r="R20" s="1" t="s">
        <v>74</v>
      </c>
      <c r="S20" s="1"/>
    </row>
    <row r="21" spans="1:37" x14ac:dyDescent="0.2">
      <c r="L21" s="2" t="s">
        <v>91</v>
      </c>
      <c r="M21" s="2" t="s">
        <v>91</v>
      </c>
      <c r="N21" s="2" t="s">
        <v>91</v>
      </c>
      <c r="O21" t="s">
        <v>94</v>
      </c>
      <c r="T21" s="2" t="s">
        <v>91</v>
      </c>
      <c r="U21" s="2" t="s">
        <v>91</v>
      </c>
      <c r="V21" t="s">
        <v>94</v>
      </c>
    </row>
    <row r="22" spans="1:37" x14ac:dyDescent="0.2">
      <c r="L22" s="34" t="s">
        <v>2</v>
      </c>
      <c r="M22" s="36" t="s">
        <v>6</v>
      </c>
      <c r="N22" s="36" t="s">
        <v>7</v>
      </c>
      <c r="O22" s="36" t="s">
        <v>8</v>
      </c>
      <c r="P22" s="34" t="s">
        <v>4</v>
      </c>
      <c r="S22" s="34" t="s">
        <v>2</v>
      </c>
      <c r="T22" s="34" t="s">
        <v>6</v>
      </c>
      <c r="U22" s="34" t="s">
        <v>7</v>
      </c>
      <c r="V22" s="34" t="s">
        <v>8</v>
      </c>
      <c r="W22" s="34" t="s">
        <v>4</v>
      </c>
    </row>
    <row r="23" spans="1:37" x14ac:dyDescent="0.2">
      <c r="K23" s="3" t="s">
        <v>26</v>
      </c>
      <c r="L23" s="38">
        <v>462</v>
      </c>
      <c r="M23" s="37">
        <v>0</v>
      </c>
      <c r="N23" s="37">
        <v>0</v>
      </c>
      <c r="O23" s="37" t="s">
        <v>59</v>
      </c>
      <c r="P23" s="38" t="s">
        <v>59</v>
      </c>
      <c r="R23" s="3" t="s">
        <v>26</v>
      </c>
      <c r="S23" s="38">
        <v>15</v>
      </c>
      <c r="T23" s="37">
        <v>0</v>
      </c>
      <c r="U23" s="37">
        <v>0</v>
      </c>
      <c r="V23" s="37" t="s">
        <v>59</v>
      </c>
      <c r="W23" s="38" t="s">
        <v>59</v>
      </c>
    </row>
    <row r="24" spans="1:37" x14ac:dyDescent="0.2">
      <c r="K24" s="3" t="s">
        <v>27</v>
      </c>
      <c r="L24" s="38">
        <v>531</v>
      </c>
      <c r="M24" s="38">
        <v>8</v>
      </c>
      <c r="N24" s="37">
        <v>0</v>
      </c>
      <c r="O24" s="37" t="s">
        <v>59</v>
      </c>
      <c r="P24" s="38" t="s">
        <v>59</v>
      </c>
      <c r="R24" s="3" t="s">
        <v>27</v>
      </c>
      <c r="S24" s="38">
        <v>32</v>
      </c>
      <c r="T24" s="38">
        <v>14</v>
      </c>
      <c r="U24" s="37">
        <v>0</v>
      </c>
      <c r="V24" s="37" t="s">
        <v>59</v>
      </c>
      <c r="W24" s="38" t="s">
        <v>59</v>
      </c>
    </row>
    <row r="25" spans="1:37" x14ac:dyDescent="0.2">
      <c r="K25" s="3" t="s">
        <v>28</v>
      </c>
      <c r="L25" s="38">
        <v>775</v>
      </c>
      <c r="M25" s="38">
        <v>40</v>
      </c>
      <c r="N25" s="38">
        <v>49</v>
      </c>
      <c r="O25" s="38" t="s">
        <v>59</v>
      </c>
      <c r="P25" s="38" t="s">
        <v>59</v>
      </c>
      <c r="R25" s="3" t="s">
        <v>28</v>
      </c>
      <c r="S25" s="38">
        <v>51</v>
      </c>
      <c r="T25" s="38">
        <v>39</v>
      </c>
      <c r="U25" s="38">
        <v>25</v>
      </c>
      <c r="V25" s="38" t="s">
        <v>59</v>
      </c>
      <c r="W25" s="38" t="s">
        <v>59</v>
      </c>
    </row>
    <row r="26" spans="1:37" x14ac:dyDescent="0.2">
      <c r="K26" s="3" t="s">
        <v>29</v>
      </c>
      <c r="L26" s="38">
        <v>740</v>
      </c>
      <c r="M26" s="39">
        <v>4</v>
      </c>
      <c r="N26" s="37">
        <v>0</v>
      </c>
      <c r="O26" s="38" t="s">
        <v>59</v>
      </c>
      <c r="P26" s="38" t="s">
        <v>59</v>
      </c>
      <c r="R26" s="3" t="s">
        <v>29</v>
      </c>
      <c r="S26" s="38">
        <v>45</v>
      </c>
      <c r="T26" s="39">
        <v>1</v>
      </c>
      <c r="U26" s="37">
        <v>0</v>
      </c>
      <c r="V26" s="38" t="s">
        <v>59</v>
      </c>
      <c r="W26" s="38" t="s">
        <v>59</v>
      </c>
    </row>
    <row r="27" spans="1:37" x14ac:dyDescent="0.2">
      <c r="K27" s="3" t="s">
        <v>30</v>
      </c>
      <c r="L27" s="38">
        <v>571</v>
      </c>
      <c r="M27" s="38">
        <v>30</v>
      </c>
      <c r="N27" s="37">
        <v>0</v>
      </c>
      <c r="O27" s="37" t="s">
        <v>59</v>
      </c>
      <c r="P27" s="38" t="s">
        <v>59</v>
      </c>
      <c r="R27" s="3" t="s">
        <v>30</v>
      </c>
      <c r="S27" s="38">
        <v>45</v>
      </c>
      <c r="T27" s="38">
        <v>16</v>
      </c>
      <c r="U27" s="37">
        <v>0</v>
      </c>
      <c r="V27" s="37" t="s">
        <v>59</v>
      </c>
      <c r="W27" s="38" t="s">
        <v>59</v>
      </c>
    </row>
    <row r="28" spans="1:37" x14ac:dyDescent="0.2">
      <c r="K28" s="3" t="s">
        <v>31</v>
      </c>
      <c r="L28" s="38">
        <v>376</v>
      </c>
      <c r="M28" s="37">
        <v>0</v>
      </c>
      <c r="N28" s="37">
        <v>0</v>
      </c>
      <c r="O28" s="38" t="s">
        <v>59</v>
      </c>
      <c r="P28" s="38" t="s">
        <v>59</v>
      </c>
      <c r="R28" s="3" t="s">
        <v>31</v>
      </c>
      <c r="S28" s="38">
        <v>28</v>
      </c>
      <c r="T28" s="37">
        <v>0</v>
      </c>
      <c r="U28" s="37">
        <v>0</v>
      </c>
      <c r="V28" s="38" t="s">
        <v>59</v>
      </c>
      <c r="W28" s="38" t="s">
        <v>59</v>
      </c>
    </row>
    <row r="29" spans="1:37" x14ac:dyDescent="0.2">
      <c r="K29" s="3" t="s">
        <v>32</v>
      </c>
      <c r="L29" s="38">
        <v>836</v>
      </c>
      <c r="M29" s="37">
        <v>0</v>
      </c>
      <c r="N29" s="37">
        <v>0</v>
      </c>
      <c r="O29" s="37" t="s">
        <v>59</v>
      </c>
      <c r="P29" s="38" t="s">
        <v>59</v>
      </c>
      <c r="R29" s="3" t="s">
        <v>32</v>
      </c>
      <c r="S29" s="38">
        <v>127</v>
      </c>
      <c r="T29" s="37">
        <v>0</v>
      </c>
      <c r="U29" s="37">
        <v>0</v>
      </c>
      <c r="V29" s="37" t="s">
        <v>59</v>
      </c>
      <c r="W29" s="38" t="s">
        <v>59</v>
      </c>
    </row>
    <row r="30" spans="1:37" x14ac:dyDescent="0.2">
      <c r="K30" s="3" t="s">
        <v>33</v>
      </c>
      <c r="L30" s="38">
        <v>1386</v>
      </c>
      <c r="M30" s="38">
        <v>2</v>
      </c>
      <c r="N30" s="37">
        <v>0</v>
      </c>
      <c r="O30" s="38" t="s">
        <v>59</v>
      </c>
      <c r="P30" s="38" t="s">
        <v>59</v>
      </c>
      <c r="R30" s="3" t="s">
        <v>33</v>
      </c>
      <c r="S30" s="38">
        <v>138</v>
      </c>
      <c r="T30" s="38">
        <v>2</v>
      </c>
      <c r="U30" s="37">
        <v>0</v>
      </c>
      <c r="V30" s="38" t="s">
        <v>59</v>
      </c>
      <c r="W30" s="38" t="s">
        <v>59</v>
      </c>
    </row>
    <row r="31" spans="1:37" x14ac:dyDescent="0.2">
      <c r="K31" s="3" t="s">
        <v>34</v>
      </c>
      <c r="L31" s="38">
        <v>1072</v>
      </c>
      <c r="M31" s="37">
        <v>0</v>
      </c>
      <c r="N31" s="37">
        <v>0</v>
      </c>
      <c r="O31" s="37" t="s">
        <v>59</v>
      </c>
      <c r="P31" s="38" t="s">
        <v>59</v>
      </c>
      <c r="R31" s="3" t="s">
        <v>34</v>
      </c>
      <c r="S31" s="38">
        <v>40</v>
      </c>
      <c r="T31" s="37">
        <v>0</v>
      </c>
      <c r="U31" s="37">
        <v>0</v>
      </c>
      <c r="V31" s="37" t="s">
        <v>59</v>
      </c>
      <c r="W31" s="38" t="s">
        <v>59</v>
      </c>
    </row>
    <row r="32" spans="1:37" x14ac:dyDescent="0.2">
      <c r="K32" s="3" t="s">
        <v>35</v>
      </c>
      <c r="L32" s="38">
        <v>621</v>
      </c>
      <c r="M32" s="38">
        <v>57</v>
      </c>
      <c r="N32" s="38">
        <v>86</v>
      </c>
      <c r="O32" s="38" t="s">
        <v>59</v>
      </c>
      <c r="P32" s="38" t="s">
        <v>59</v>
      </c>
      <c r="R32" s="3" t="s">
        <v>35</v>
      </c>
      <c r="S32" s="38">
        <v>125</v>
      </c>
      <c r="T32" s="38">
        <v>93</v>
      </c>
      <c r="U32" s="38">
        <v>56</v>
      </c>
      <c r="V32" s="38" t="s">
        <v>59</v>
      </c>
      <c r="W32" s="38" t="s">
        <v>59</v>
      </c>
    </row>
    <row r="33" spans="1:23" s="1" customFormat="1" x14ac:dyDescent="0.2">
      <c r="A33" s="78"/>
      <c r="B33" s="5"/>
      <c r="K33" s="35" t="s">
        <v>47</v>
      </c>
      <c r="L33" s="5">
        <f>SUM(L23:L32)</f>
        <v>7370</v>
      </c>
      <c r="M33" s="5">
        <f>SUM(M23:M32)</f>
        <v>141</v>
      </c>
      <c r="N33" s="5">
        <f>SUM(N23:N32)</f>
        <v>135</v>
      </c>
      <c r="O33" s="5" t="s">
        <v>59</v>
      </c>
      <c r="P33" s="5" t="s">
        <v>59</v>
      </c>
      <c r="R33" s="35" t="s">
        <v>47</v>
      </c>
      <c r="S33" s="5">
        <f>SUM(S23:S32)</f>
        <v>646</v>
      </c>
      <c r="T33" s="5">
        <f>SUM(T23:T32)</f>
        <v>165</v>
      </c>
      <c r="U33" s="5">
        <f>SUM(U23:U32)</f>
        <v>81</v>
      </c>
      <c r="V33" s="5" t="s">
        <v>59</v>
      </c>
      <c r="W33" s="5" t="s">
        <v>59</v>
      </c>
    </row>
  </sheetData>
  <mergeCells count="9">
    <mergeCell ref="B3:B4"/>
    <mergeCell ref="G3:K3"/>
    <mergeCell ref="M3:Q3"/>
    <mergeCell ref="X3:AB3"/>
    <mergeCell ref="AH3:AL3"/>
    <mergeCell ref="AC3:AG3"/>
    <mergeCell ref="R3:V3"/>
    <mergeCell ref="F3:F4"/>
    <mergeCell ref="C3:C4"/>
  </mergeCells>
  <pageMargins left="0.7" right="0.7" top="0.75" bottom="0.75" header="0.3" footer="0.3"/>
  <headerFooter>
    <oddFooter>&amp;C_x000D_&amp;1#&amp;"Calibri"&amp;8&amp;K000000 INTERNAL. This information is accessible to ADB Management and Staff. It may be shared outside ADB with appropriate permission.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F7E5-AD70-8C40-8DA9-CC6B44D54612}">
  <dimension ref="A1:Y35"/>
  <sheetViews>
    <sheetView zoomScale="85" zoomScaleNormal="85" workbookViewId="0">
      <pane xSplit="3" ySplit="4" topLeftCell="D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baseColWidth="10" defaultRowHeight="16" x14ac:dyDescent="0.2"/>
  <cols>
    <col min="1" max="1" width="10.83203125" style="72"/>
    <col min="2" max="2" width="6.5" style="2" customWidth="1"/>
    <col min="3" max="3" width="14.5" customWidth="1"/>
    <col min="4" max="4" width="10.6640625" customWidth="1"/>
    <col min="5" max="5" width="10" customWidth="1"/>
    <col min="6" max="6" width="23.6640625" customWidth="1"/>
    <col min="7" max="7" width="13.6640625" customWidth="1"/>
    <col min="8" max="8" width="12" customWidth="1"/>
    <col min="9" max="9" width="12.5" customWidth="1"/>
    <col min="10" max="10" width="13.33203125" customWidth="1"/>
    <col min="11" max="11" width="12.33203125" customWidth="1"/>
    <col min="12" max="12" width="15.1640625" customWidth="1"/>
    <col min="13" max="13" width="11.6640625" customWidth="1"/>
    <col min="14" max="14" width="13.5" customWidth="1"/>
    <col min="15" max="15" width="14.6640625" customWidth="1"/>
    <col min="16" max="16" width="11.6640625" customWidth="1"/>
    <col min="17" max="17" width="18.6640625" bestFit="1" customWidth="1"/>
    <col min="18" max="18" width="11.6640625" customWidth="1"/>
    <col min="19" max="19" width="12.5" customWidth="1"/>
    <col min="20" max="20" width="15" customWidth="1"/>
    <col min="21" max="21" width="11.5" customWidth="1"/>
    <col min="22" max="22" width="19.1640625" customWidth="1"/>
    <col min="23" max="23" width="14.33203125" customWidth="1"/>
    <col min="24" max="24" width="15.5" customWidth="1"/>
    <col min="25" max="25" width="23.1640625" customWidth="1"/>
    <col min="26" max="26" width="14.33203125" customWidth="1"/>
    <col min="27" max="27" width="15.5" customWidth="1"/>
    <col min="28" max="28" width="23.1640625" customWidth="1"/>
    <col min="29" max="29" width="14.5" customWidth="1"/>
  </cols>
  <sheetData>
    <row r="1" spans="1:25" s="72" customFormat="1" x14ac:dyDescent="0.2">
      <c r="B1" s="77"/>
      <c r="C1" s="78" t="s">
        <v>117</v>
      </c>
      <c r="D1" s="78">
        <v>4.3</v>
      </c>
      <c r="E1" s="72" t="s">
        <v>49</v>
      </c>
    </row>
    <row r="2" spans="1:25" s="73" customFormat="1" x14ac:dyDescent="0.2">
      <c r="B2" s="131"/>
      <c r="F2" s="132"/>
    </row>
    <row r="3" spans="1:25" s="64" customFormat="1" ht="34" customHeight="1" x14ac:dyDescent="0.2">
      <c r="A3" s="132"/>
      <c r="B3" s="273"/>
      <c r="C3" s="273" t="s">
        <v>1</v>
      </c>
      <c r="D3" s="44" t="s">
        <v>124</v>
      </c>
      <c r="E3" s="44" t="s">
        <v>98</v>
      </c>
      <c r="F3" s="275" t="s">
        <v>55</v>
      </c>
      <c r="G3" s="278" t="s">
        <v>9</v>
      </c>
      <c r="H3" s="279"/>
      <c r="I3" s="280"/>
      <c r="J3" s="272" t="s">
        <v>10</v>
      </c>
      <c r="K3" s="281"/>
      <c r="L3" s="282"/>
      <c r="M3" s="272" t="s">
        <v>48</v>
      </c>
      <c r="N3" s="281"/>
      <c r="O3" s="282"/>
      <c r="P3" s="95"/>
      <c r="Q3" s="283" t="s">
        <v>43</v>
      </c>
      <c r="R3" s="284"/>
      <c r="S3" s="269"/>
      <c r="T3" s="285" t="s">
        <v>62</v>
      </c>
      <c r="U3" s="286"/>
      <c r="V3" s="287"/>
      <c r="W3" s="271" t="s">
        <v>44</v>
      </c>
      <c r="X3" s="271"/>
      <c r="Y3" s="271"/>
    </row>
    <row r="4" spans="1:25" s="135" customFormat="1" ht="119" x14ac:dyDescent="0.2">
      <c r="A4" s="134"/>
      <c r="B4" s="274"/>
      <c r="C4" s="274"/>
      <c r="D4" s="44" t="s">
        <v>97</v>
      </c>
      <c r="E4" s="44" t="s">
        <v>232</v>
      </c>
      <c r="F4" s="276"/>
      <c r="G4" s="44" t="s">
        <v>88</v>
      </c>
      <c r="H4" s="44" t="s">
        <v>116</v>
      </c>
      <c r="I4" s="44" t="s">
        <v>119</v>
      </c>
      <c r="J4" s="63" t="s">
        <v>88</v>
      </c>
      <c r="K4" s="63" t="s">
        <v>116</v>
      </c>
      <c r="L4" s="63" t="s">
        <v>119</v>
      </c>
      <c r="M4" s="63" t="s">
        <v>88</v>
      </c>
      <c r="N4" s="63" t="s">
        <v>116</v>
      </c>
      <c r="O4" s="63" t="s">
        <v>119</v>
      </c>
      <c r="P4" s="95"/>
      <c r="Q4" s="90" t="s">
        <v>88</v>
      </c>
      <c r="R4" s="61" t="s">
        <v>116</v>
      </c>
      <c r="S4" s="61" t="s">
        <v>119</v>
      </c>
      <c r="T4" s="133" t="s">
        <v>88</v>
      </c>
      <c r="U4" s="133" t="s">
        <v>116</v>
      </c>
      <c r="V4" s="133" t="s">
        <v>119</v>
      </c>
      <c r="W4" s="67" t="s">
        <v>88</v>
      </c>
      <c r="X4" s="67" t="s">
        <v>116</v>
      </c>
      <c r="Y4" s="67" t="s">
        <v>119</v>
      </c>
    </row>
    <row r="5" spans="1:25" x14ac:dyDescent="0.2">
      <c r="B5" s="4">
        <v>1</v>
      </c>
      <c r="C5" s="3" t="s">
        <v>239</v>
      </c>
      <c r="D5" s="16">
        <v>1122.6684917332525</v>
      </c>
      <c r="E5" s="16">
        <f t="shared" ref="E5:E15" si="0">D5/$D$1</f>
        <v>261.08569575191922</v>
      </c>
      <c r="F5" s="3" t="s">
        <v>88</v>
      </c>
      <c r="G5" s="12" t="s">
        <v>36</v>
      </c>
      <c r="H5" s="33" t="s">
        <v>45</v>
      </c>
      <c r="I5" s="33" t="s">
        <v>45</v>
      </c>
      <c r="J5" s="4">
        <f>J24+O24+T24</f>
        <v>315</v>
      </c>
      <c r="K5" s="138">
        <f t="shared" ref="K5:L15" si="1">K24+P24+U24</f>
        <v>0</v>
      </c>
      <c r="L5" s="138">
        <f t="shared" si="1"/>
        <v>0</v>
      </c>
      <c r="M5" s="57">
        <f t="shared" ref="M5:M13" si="2">J24/$E5</f>
        <v>1.0839352925290229</v>
      </c>
      <c r="N5" s="181">
        <f t="shared" ref="N5:N13" si="3">K24/$E5</f>
        <v>0</v>
      </c>
      <c r="O5" s="181">
        <f t="shared" ref="O5:O13" si="4">L24/$E5</f>
        <v>0</v>
      </c>
      <c r="P5" s="128"/>
      <c r="Q5" s="124">
        <v>24</v>
      </c>
      <c r="R5" s="3"/>
      <c r="S5" s="3"/>
      <c r="T5" s="3"/>
      <c r="U5" s="3"/>
      <c r="V5" s="3"/>
      <c r="W5" s="3"/>
      <c r="X5" s="3"/>
      <c r="Y5" s="3"/>
    </row>
    <row r="6" spans="1:25" x14ac:dyDescent="0.2">
      <c r="B6" s="4">
        <v>2</v>
      </c>
      <c r="C6" s="3" t="s">
        <v>240</v>
      </c>
      <c r="D6" s="16">
        <v>909.69324878290251</v>
      </c>
      <c r="E6" s="16">
        <f t="shared" si="0"/>
        <v>211.55656948439594</v>
      </c>
      <c r="F6" s="3" t="s">
        <v>88</v>
      </c>
      <c r="G6" s="12" t="s">
        <v>36</v>
      </c>
      <c r="H6" s="33" t="s">
        <v>45</v>
      </c>
      <c r="I6" s="33" t="s">
        <v>45</v>
      </c>
      <c r="J6" s="4">
        <f t="shared" ref="J6:J15" si="5">J25+O25+T25</f>
        <v>169</v>
      </c>
      <c r="K6" s="138">
        <f t="shared" si="1"/>
        <v>0</v>
      </c>
      <c r="L6" s="138">
        <f t="shared" si="1"/>
        <v>0</v>
      </c>
      <c r="M6" s="57">
        <f t="shared" si="2"/>
        <v>0.77520636867812498</v>
      </c>
      <c r="N6" s="181">
        <f t="shared" si="3"/>
        <v>0</v>
      </c>
      <c r="O6" s="181">
        <f t="shared" si="4"/>
        <v>0</v>
      </c>
      <c r="P6" s="128"/>
      <c r="Q6" s="124">
        <v>24</v>
      </c>
      <c r="R6" s="3"/>
      <c r="S6" s="3"/>
      <c r="T6" s="3"/>
      <c r="U6" s="3"/>
      <c r="V6" s="3"/>
      <c r="W6" s="3"/>
      <c r="X6" s="3"/>
      <c r="Y6" s="3"/>
    </row>
    <row r="7" spans="1:25" x14ac:dyDescent="0.2">
      <c r="B7" s="4">
        <v>3</v>
      </c>
      <c r="C7" s="3" t="s">
        <v>241</v>
      </c>
      <c r="D7" s="16">
        <v>646.41732031161541</v>
      </c>
      <c r="E7" s="16">
        <f t="shared" si="0"/>
        <v>150.3296093747943</v>
      </c>
      <c r="F7" s="3" t="s">
        <v>88</v>
      </c>
      <c r="G7" s="12" t="s">
        <v>36</v>
      </c>
      <c r="H7" s="33" t="s">
        <v>45</v>
      </c>
      <c r="I7" s="33" t="s">
        <v>45</v>
      </c>
      <c r="J7" s="4">
        <f t="shared" si="5"/>
        <v>88</v>
      </c>
      <c r="K7" s="138">
        <f t="shared" si="1"/>
        <v>0</v>
      </c>
      <c r="L7" s="138">
        <f t="shared" si="1"/>
        <v>0</v>
      </c>
      <c r="M7" s="57">
        <f t="shared" si="2"/>
        <v>0.55877215639252664</v>
      </c>
      <c r="N7" s="181">
        <f t="shared" si="3"/>
        <v>0</v>
      </c>
      <c r="O7" s="181">
        <f t="shared" si="4"/>
        <v>0</v>
      </c>
      <c r="P7" s="128"/>
      <c r="Q7" s="124" t="s">
        <v>265</v>
      </c>
      <c r="R7" s="3"/>
      <c r="S7" s="3"/>
      <c r="T7" s="3"/>
      <c r="U7" s="3"/>
      <c r="V7" s="3"/>
      <c r="W7" s="3"/>
      <c r="X7" s="3"/>
      <c r="Y7" s="3"/>
    </row>
    <row r="8" spans="1:25" x14ac:dyDescent="0.2">
      <c r="B8" s="4">
        <v>4</v>
      </c>
      <c r="C8" s="3" t="s">
        <v>242</v>
      </c>
      <c r="D8" s="16">
        <v>850.8307444498912</v>
      </c>
      <c r="E8" s="16">
        <f t="shared" si="0"/>
        <v>197.86761498834679</v>
      </c>
      <c r="F8" s="3" t="s">
        <v>88</v>
      </c>
      <c r="G8" s="12" t="s">
        <v>36</v>
      </c>
      <c r="H8" s="33" t="s">
        <v>45</v>
      </c>
      <c r="I8" s="33" t="s">
        <v>45</v>
      </c>
      <c r="J8" s="4">
        <f t="shared" si="5"/>
        <v>180</v>
      </c>
      <c r="K8" s="138">
        <f t="shared" si="1"/>
        <v>0</v>
      </c>
      <c r="L8" s="138">
        <f t="shared" si="1"/>
        <v>0</v>
      </c>
      <c r="M8" s="57">
        <f t="shared" si="2"/>
        <v>0.88948360756440781</v>
      </c>
      <c r="N8" s="181">
        <f t="shared" si="3"/>
        <v>0</v>
      </c>
      <c r="O8" s="181">
        <f t="shared" si="4"/>
        <v>0</v>
      </c>
      <c r="P8" s="128"/>
      <c r="Q8" s="124">
        <v>24</v>
      </c>
      <c r="R8" s="3"/>
      <c r="S8" s="3"/>
      <c r="T8" s="3"/>
      <c r="U8" s="3"/>
      <c r="V8" s="3"/>
      <c r="W8" s="3"/>
      <c r="X8" s="3"/>
      <c r="Y8" s="3"/>
    </row>
    <row r="9" spans="1:25" x14ac:dyDescent="0.2">
      <c r="B9" s="4">
        <v>5</v>
      </c>
      <c r="C9" s="3" t="s">
        <v>243</v>
      </c>
      <c r="D9" s="16">
        <v>2398.3794947323349</v>
      </c>
      <c r="E9" s="16">
        <f t="shared" si="0"/>
        <v>557.76267319356634</v>
      </c>
      <c r="F9" s="3" t="s">
        <v>88</v>
      </c>
      <c r="G9" s="12" t="s">
        <v>36</v>
      </c>
      <c r="H9" s="33" t="s">
        <v>45</v>
      </c>
      <c r="I9" s="33" t="s">
        <v>45</v>
      </c>
      <c r="J9" s="4">
        <f t="shared" si="5"/>
        <v>554</v>
      </c>
      <c r="K9" s="138">
        <f t="shared" si="1"/>
        <v>0</v>
      </c>
      <c r="L9" s="138">
        <f t="shared" si="1"/>
        <v>0</v>
      </c>
      <c r="M9" s="57">
        <f t="shared" si="2"/>
        <v>0.89105998641741446</v>
      </c>
      <c r="N9" s="181">
        <f t="shared" si="3"/>
        <v>0</v>
      </c>
      <c r="O9" s="181">
        <f t="shared" si="4"/>
        <v>0</v>
      </c>
      <c r="P9" s="128"/>
      <c r="Q9" s="124">
        <v>24</v>
      </c>
      <c r="R9" s="3"/>
      <c r="S9" s="3"/>
      <c r="T9" s="3"/>
      <c r="U9" s="3"/>
      <c r="V9" s="3"/>
      <c r="W9" s="3"/>
      <c r="X9" s="3"/>
      <c r="Y9" s="3"/>
    </row>
    <row r="10" spans="1:25" x14ac:dyDescent="0.2">
      <c r="B10" s="4">
        <v>6</v>
      </c>
      <c r="C10" s="3" t="s">
        <v>225</v>
      </c>
      <c r="D10" s="16">
        <v>1351.6971449562423</v>
      </c>
      <c r="E10" s="16">
        <f t="shared" si="0"/>
        <v>314.34817324563772</v>
      </c>
      <c r="F10" s="3" t="s">
        <v>231</v>
      </c>
      <c r="G10" s="33" t="s">
        <v>45</v>
      </c>
      <c r="H10" s="12" t="s">
        <v>36</v>
      </c>
      <c r="I10" s="33" t="s">
        <v>45</v>
      </c>
      <c r="J10" s="138">
        <f t="shared" si="5"/>
        <v>0</v>
      </c>
      <c r="K10" s="4">
        <f t="shared" si="1"/>
        <v>280</v>
      </c>
      <c r="L10" s="138">
        <f t="shared" si="1"/>
        <v>0</v>
      </c>
      <c r="M10" s="181">
        <f t="shared" si="2"/>
        <v>0</v>
      </c>
      <c r="N10" s="24">
        <f t="shared" si="3"/>
        <v>0.89073207300365831</v>
      </c>
      <c r="O10" s="181">
        <f t="shared" si="4"/>
        <v>0</v>
      </c>
      <c r="P10" s="128"/>
      <c r="Q10" s="124">
        <v>24</v>
      </c>
      <c r="R10" s="3"/>
      <c r="S10" s="3"/>
      <c r="T10" s="3"/>
      <c r="U10" s="3"/>
      <c r="V10" s="3"/>
      <c r="W10" s="3"/>
      <c r="X10" s="3"/>
      <c r="Y10" s="3"/>
    </row>
    <row r="11" spans="1:25" x14ac:dyDescent="0.2">
      <c r="B11" s="4">
        <v>7</v>
      </c>
      <c r="C11" s="3" t="s">
        <v>244</v>
      </c>
      <c r="D11" s="16">
        <v>651.76845706916185</v>
      </c>
      <c r="E11" s="16">
        <f t="shared" si="0"/>
        <v>151.57405978352602</v>
      </c>
      <c r="F11" s="3" t="s">
        <v>88</v>
      </c>
      <c r="G11" s="12" t="s">
        <v>36</v>
      </c>
      <c r="H11" s="33" t="s">
        <v>45</v>
      </c>
      <c r="I11" s="33" t="s">
        <v>45</v>
      </c>
      <c r="J11" s="4">
        <f t="shared" si="5"/>
        <v>190</v>
      </c>
      <c r="K11" s="138">
        <f t="shared" si="1"/>
        <v>0</v>
      </c>
      <c r="L11" s="138">
        <f t="shared" si="1"/>
        <v>0</v>
      </c>
      <c r="M11" s="57">
        <f t="shared" si="2"/>
        <v>1.0951742022155817</v>
      </c>
      <c r="N11" s="181">
        <f t="shared" si="3"/>
        <v>0</v>
      </c>
      <c r="O11" s="181">
        <f t="shared" si="4"/>
        <v>0</v>
      </c>
      <c r="P11" s="128"/>
      <c r="Q11" s="124">
        <v>24</v>
      </c>
      <c r="R11" s="3"/>
      <c r="S11" s="3"/>
      <c r="T11" s="3"/>
      <c r="U11" s="3"/>
      <c r="V11" s="3"/>
      <c r="W11" s="3"/>
      <c r="X11" s="3"/>
      <c r="Y11" s="3"/>
    </row>
    <row r="12" spans="1:25" x14ac:dyDescent="0.2">
      <c r="B12" s="4">
        <v>8</v>
      </c>
      <c r="C12" s="3" t="s">
        <v>245</v>
      </c>
      <c r="D12" s="16">
        <v>1030.628939503453</v>
      </c>
      <c r="E12" s="16">
        <f t="shared" si="0"/>
        <v>239.68114872173328</v>
      </c>
      <c r="F12" s="3" t="s">
        <v>88</v>
      </c>
      <c r="G12" s="12" t="s">
        <v>36</v>
      </c>
      <c r="H12" s="33" t="s">
        <v>45</v>
      </c>
      <c r="I12" s="12" t="s">
        <v>36</v>
      </c>
      <c r="J12" s="4">
        <f t="shared" si="5"/>
        <v>200</v>
      </c>
      <c r="K12" s="138">
        <f t="shared" si="1"/>
        <v>0</v>
      </c>
      <c r="L12" s="4">
        <f t="shared" si="1"/>
        <v>134</v>
      </c>
      <c r="M12" s="57">
        <f t="shared" si="2"/>
        <v>0.77603099364290684</v>
      </c>
      <c r="N12" s="181">
        <f t="shared" si="3"/>
        <v>0</v>
      </c>
      <c r="O12" s="24">
        <f t="shared" si="4"/>
        <v>0.55907609219435217</v>
      </c>
      <c r="P12" s="128"/>
      <c r="Q12" s="124">
        <v>24</v>
      </c>
      <c r="R12" s="3"/>
      <c r="S12" s="3"/>
      <c r="T12" s="3"/>
      <c r="U12" s="3"/>
      <c r="V12" s="3"/>
      <c r="W12" s="3"/>
      <c r="X12" s="3"/>
      <c r="Y12" s="3"/>
    </row>
    <row r="13" spans="1:25" x14ac:dyDescent="0.2">
      <c r="B13" s="4">
        <v>9</v>
      </c>
      <c r="C13" s="3" t="s">
        <v>246</v>
      </c>
      <c r="D13" s="16">
        <v>993.17098220062758</v>
      </c>
      <c r="E13" s="16">
        <f t="shared" si="0"/>
        <v>230.96999586061108</v>
      </c>
      <c r="F13" s="3" t="s">
        <v>88</v>
      </c>
      <c r="G13" s="12" t="s">
        <v>36</v>
      </c>
      <c r="H13" s="33" t="s">
        <v>45</v>
      </c>
      <c r="I13" s="33" t="s">
        <v>45</v>
      </c>
      <c r="J13" s="4">
        <f t="shared" si="5"/>
        <v>207</v>
      </c>
      <c r="K13" s="138">
        <f t="shared" si="1"/>
        <v>0</v>
      </c>
      <c r="L13" s="138">
        <f t="shared" si="1"/>
        <v>0</v>
      </c>
      <c r="M13" s="57">
        <f t="shared" si="2"/>
        <v>0.86591333759515121</v>
      </c>
      <c r="N13" s="181">
        <f t="shared" si="3"/>
        <v>0</v>
      </c>
      <c r="O13" s="181">
        <f t="shared" si="4"/>
        <v>0</v>
      </c>
      <c r="P13" s="128"/>
      <c r="Q13" s="124">
        <v>24</v>
      </c>
      <c r="R13" s="3"/>
      <c r="S13" s="3"/>
      <c r="T13" s="3"/>
      <c r="U13" s="3"/>
      <c r="V13" s="3"/>
      <c r="W13" s="3"/>
      <c r="X13" s="3"/>
      <c r="Y13" s="3"/>
    </row>
    <row r="14" spans="1:25" x14ac:dyDescent="0.2">
      <c r="B14" s="4">
        <v>10</v>
      </c>
      <c r="C14" s="3" t="s">
        <v>247</v>
      </c>
      <c r="D14" s="16">
        <v>873.30551883158637</v>
      </c>
      <c r="E14" s="16">
        <f t="shared" ref="E14" si="6">D14/$D$1</f>
        <v>203.0943067050201</v>
      </c>
      <c r="F14" s="3" t="s">
        <v>88</v>
      </c>
      <c r="G14" s="12" t="s">
        <v>36</v>
      </c>
      <c r="H14" s="33" t="s">
        <v>45</v>
      </c>
      <c r="I14" s="33" t="s">
        <v>45</v>
      </c>
      <c r="J14" s="4">
        <f t="shared" si="5"/>
        <v>139</v>
      </c>
      <c r="K14" s="138">
        <f t="shared" si="1"/>
        <v>0</v>
      </c>
      <c r="L14" s="138">
        <f t="shared" si="1"/>
        <v>0</v>
      </c>
      <c r="M14" s="57">
        <f>J34/$E14</f>
        <v>1.344203116419767</v>
      </c>
      <c r="N14" s="181">
        <f>K34/$E14</f>
        <v>0</v>
      </c>
      <c r="O14" s="181">
        <f>L34/$E14</f>
        <v>0</v>
      </c>
      <c r="P14" s="128"/>
      <c r="Q14" s="124">
        <v>24</v>
      </c>
      <c r="R14" s="3"/>
      <c r="S14" s="3"/>
      <c r="T14" s="3"/>
      <c r="U14" s="3"/>
      <c r="V14" s="3"/>
      <c r="W14" s="3"/>
      <c r="X14" s="3"/>
      <c r="Y14" s="3"/>
    </row>
    <row r="15" spans="1:25" x14ac:dyDescent="0.2">
      <c r="B15" s="4">
        <v>11</v>
      </c>
      <c r="C15" s="3" t="s">
        <v>248</v>
      </c>
      <c r="D15" s="16">
        <v>1207.2164525024871</v>
      </c>
      <c r="E15" s="16">
        <f t="shared" si="0"/>
        <v>280.7480122098807</v>
      </c>
      <c r="F15" s="3" t="s">
        <v>88</v>
      </c>
      <c r="G15" s="12" t="s">
        <v>36</v>
      </c>
      <c r="H15" s="33" t="s">
        <v>45</v>
      </c>
      <c r="I15" s="33" t="s">
        <v>45</v>
      </c>
      <c r="J15" s="4">
        <f t="shared" si="5"/>
        <v>330</v>
      </c>
      <c r="K15" s="138">
        <f t="shared" si="1"/>
        <v>0</v>
      </c>
      <c r="L15" s="138">
        <f t="shared" si="1"/>
        <v>0</v>
      </c>
      <c r="M15" s="57">
        <f t="shared" ref="M15:O16" si="7">J34/$E15</f>
        <v>0.97240225443132089</v>
      </c>
      <c r="N15" s="181">
        <f t="shared" si="7"/>
        <v>0</v>
      </c>
      <c r="O15" s="181">
        <f t="shared" si="7"/>
        <v>0</v>
      </c>
      <c r="P15" s="128"/>
      <c r="Q15" s="124">
        <v>24</v>
      </c>
      <c r="R15" s="3"/>
      <c r="S15" s="3"/>
      <c r="T15" s="3"/>
      <c r="U15" s="3"/>
      <c r="V15" s="3"/>
      <c r="W15" s="3"/>
      <c r="X15" s="3"/>
      <c r="Y15" s="3"/>
    </row>
    <row r="16" spans="1:25" s="1" customFormat="1" x14ac:dyDescent="0.2">
      <c r="A16" s="78"/>
      <c r="B16" s="79"/>
      <c r="C16" s="136" t="s">
        <v>47</v>
      </c>
      <c r="D16" s="137">
        <f>SUM(D5:D15)</f>
        <v>12035.776795073554</v>
      </c>
      <c r="E16" s="137">
        <f>SUM(E5:E15)</f>
        <v>2799.0178593194323</v>
      </c>
      <c r="F16" s="136"/>
      <c r="G16" s="79"/>
      <c r="H16" s="79"/>
      <c r="I16" s="136"/>
      <c r="J16" s="79">
        <f>SUM(J5:J15)</f>
        <v>2372</v>
      </c>
      <c r="K16" s="79">
        <f>SUM(K5:K15)</f>
        <v>280</v>
      </c>
      <c r="L16" s="79">
        <f>SUM(L5:L15)</f>
        <v>134</v>
      </c>
      <c r="M16" s="80">
        <f t="shared" si="7"/>
        <v>0.77277106067694867</v>
      </c>
      <c r="N16" s="80">
        <f t="shared" si="7"/>
        <v>0.10003508876077005</v>
      </c>
      <c r="O16" s="80">
        <f t="shared" si="7"/>
        <v>4.7873935335511382E-2</v>
      </c>
      <c r="P16" s="127"/>
      <c r="Q16" s="154"/>
      <c r="R16" s="36"/>
      <c r="S16" s="36"/>
      <c r="T16" s="114"/>
      <c r="U16" s="115"/>
      <c r="V16" s="114"/>
      <c r="W16" s="114"/>
      <c r="X16" s="114"/>
      <c r="Y16" s="114"/>
    </row>
    <row r="17" spans="1:25" s="1" customFormat="1" x14ac:dyDescent="0.2">
      <c r="A17" s="78"/>
      <c r="B17" s="117"/>
      <c r="C17" s="118"/>
      <c r="D17" s="119"/>
      <c r="E17" s="119"/>
      <c r="F17" s="118"/>
      <c r="G17" s="117"/>
      <c r="H17" s="117"/>
      <c r="I17" s="118"/>
      <c r="J17" s="117"/>
      <c r="K17" s="117"/>
      <c r="L17" s="117"/>
      <c r="M17" s="120"/>
      <c r="N17" s="120"/>
      <c r="O17" s="120"/>
      <c r="P17" s="127"/>
      <c r="Q17" s="118"/>
      <c r="R17" s="118"/>
      <c r="S17" s="118"/>
      <c r="T17" s="118"/>
      <c r="U17" s="121"/>
      <c r="V17" s="118"/>
      <c r="W17" s="118"/>
      <c r="X17" s="118"/>
      <c r="Y17" s="118"/>
    </row>
    <row r="18" spans="1:25" s="15" customFormat="1" ht="74" customHeight="1" x14ac:dyDescent="0.2">
      <c r="A18" s="112"/>
      <c r="B18" s="81"/>
      <c r="C18" s="82" t="s">
        <v>37</v>
      </c>
      <c r="D18" s="82"/>
      <c r="E18" s="82"/>
      <c r="F18" s="82"/>
      <c r="G18" s="82"/>
      <c r="H18" s="82"/>
      <c r="I18" s="82"/>
      <c r="J18" s="82"/>
      <c r="K18" s="82"/>
      <c r="L18" s="82"/>
      <c r="M18" s="116"/>
      <c r="N18" s="81"/>
      <c r="O18" s="81"/>
      <c r="P18" s="129"/>
      <c r="Q18" s="125"/>
      <c r="R18" s="82"/>
      <c r="S18" s="82"/>
      <c r="T18" s="82"/>
      <c r="U18" s="82"/>
      <c r="V18" s="82"/>
      <c r="W18" s="82"/>
      <c r="X18" s="82"/>
      <c r="Y18" s="82"/>
    </row>
    <row r="19" spans="1:25" s="11" customFormat="1" ht="88" customHeight="1" x14ac:dyDescent="0.2">
      <c r="A19" s="113"/>
      <c r="B19" s="9"/>
      <c r="C19" s="10" t="s">
        <v>40</v>
      </c>
      <c r="D19" s="10"/>
      <c r="E19" s="10"/>
      <c r="F19" s="10"/>
      <c r="G19" s="10" t="s">
        <v>224</v>
      </c>
      <c r="H19" s="10" t="s">
        <v>224</v>
      </c>
      <c r="I19" s="10" t="s">
        <v>224</v>
      </c>
      <c r="J19" s="10" t="s">
        <v>224</v>
      </c>
      <c r="K19" s="10" t="s">
        <v>224</v>
      </c>
      <c r="L19" s="10" t="s">
        <v>224</v>
      </c>
      <c r="M19" s="58"/>
      <c r="N19" s="10"/>
      <c r="O19" s="10"/>
      <c r="P19" s="130"/>
      <c r="Q19" s="126"/>
      <c r="R19" s="10"/>
      <c r="S19" s="10"/>
      <c r="T19" s="10"/>
      <c r="U19" s="10"/>
      <c r="V19" s="10"/>
      <c r="W19" s="10"/>
      <c r="X19" s="10"/>
      <c r="Y19" s="10"/>
    </row>
    <row r="21" spans="1:25" x14ac:dyDescent="0.2">
      <c r="J21" s="1" t="s">
        <v>90</v>
      </c>
      <c r="K21" s="1"/>
      <c r="L21" s="1"/>
      <c r="M21" s="1"/>
      <c r="N21" s="1" t="s">
        <v>74</v>
      </c>
      <c r="O21" s="1"/>
      <c r="S21" s="1" t="s">
        <v>75</v>
      </c>
      <c r="T21" s="1"/>
    </row>
    <row r="22" spans="1:25" x14ac:dyDescent="0.2">
      <c r="J22" s="2" t="s">
        <v>259</v>
      </c>
      <c r="K22" s="2"/>
      <c r="L22" s="2"/>
      <c r="N22" s="2" t="s">
        <v>259</v>
      </c>
      <c r="P22" s="2"/>
      <c r="Q22" s="2"/>
      <c r="S22" s="2" t="s">
        <v>259</v>
      </c>
      <c r="U22" s="2"/>
      <c r="V22" s="2"/>
    </row>
    <row r="23" spans="1:25" x14ac:dyDescent="0.2">
      <c r="J23" s="5" t="s">
        <v>2</v>
      </c>
      <c r="K23" s="5" t="s">
        <v>225</v>
      </c>
      <c r="L23" s="5" t="s">
        <v>226</v>
      </c>
      <c r="M23" s="5"/>
      <c r="O23" s="5" t="s">
        <v>2</v>
      </c>
      <c r="P23" s="5" t="s">
        <v>225</v>
      </c>
      <c r="Q23" s="5" t="s">
        <v>226</v>
      </c>
      <c r="R23" s="5"/>
      <c r="T23" s="5" t="s">
        <v>2</v>
      </c>
      <c r="U23" s="5" t="s">
        <v>225</v>
      </c>
      <c r="V23" s="5" t="s">
        <v>226</v>
      </c>
    </row>
    <row r="24" spans="1:25" x14ac:dyDescent="0.2">
      <c r="I24" s="166" t="s">
        <v>239</v>
      </c>
      <c r="J24" s="38">
        <v>283</v>
      </c>
      <c r="K24" s="37"/>
      <c r="L24" s="37"/>
      <c r="M24" s="163"/>
      <c r="N24" s="3" t="s">
        <v>239</v>
      </c>
      <c r="O24" s="38">
        <v>23</v>
      </c>
      <c r="P24" s="37"/>
      <c r="Q24" s="37"/>
      <c r="R24" s="2"/>
      <c r="S24" s="3" t="s">
        <v>239</v>
      </c>
      <c r="T24" s="38">
        <v>9</v>
      </c>
      <c r="U24" s="37"/>
      <c r="V24" s="37"/>
    </row>
    <row r="25" spans="1:25" x14ac:dyDescent="0.2">
      <c r="I25" s="166" t="s">
        <v>240</v>
      </c>
      <c r="J25" s="38">
        <v>164</v>
      </c>
      <c r="K25" s="37"/>
      <c r="L25" s="37"/>
      <c r="M25" s="163"/>
      <c r="N25" s="3" t="s">
        <v>240</v>
      </c>
      <c r="O25" s="38">
        <v>3</v>
      </c>
      <c r="P25" s="37"/>
      <c r="Q25" s="37"/>
      <c r="R25" s="2"/>
      <c r="S25" s="3" t="s">
        <v>240</v>
      </c>
      <c r="T25" s="38">
        <v>2</v>
      </c>
      <c r="U25" s="37"/>
      <c r="V25" s="37"/>
    </row>
    <row r="26" spans="1:25" x14ac:dyDescent="0.2">
      <c r="I26" s="166" t="s">
        <v>241</v>
      </c>
      <c r="J26" s="38">
        <v>84</v>
      </c>
      <c r="K26" s="37"/>
      <c r="L26" s="37"/>
      <c r="M26" s="163"/>
      <c r="N26" s="3" t="s">
        <v>241</v>
      </c>
      <c r="O26" s="38">
        <v>0</v>
      </c>
      <c r="P26" s="37"/>
      <c r="Q26" s="37"/>
      <c r="R26" s="2"/>
      <c r="S26" s="3" t="s">
        <v>241</v>
      </c>
      <c r="T26" s="38">
        <v>4</v>
      </c>
      <c r="U26" s="37"/>
      <c r="V26" s="37"/>
    </row>
    <row r="27" spans="1:25" x14ac:dyDescent="0.2">
      <c r="I27" s="166" t="s">
        <v>242</v>
      </c>
      <c r="J27" s="38">
        <v>176</v>
      </c>
      <c r="K27" s="37"/>
      <c r="L27" s="37"/>
      <c r="M27" s="163"/>
      <c r="N27" s="3" t="s">
        <v>242</v>
      </c>
      <c r="O27" s="38">
        <v>0</v>
      </c>
      <c r="P27" s="37"/>
      <c r="Q27" s="37"/>
      <c r="R27" s="2"/>
      <c r="S27" s="3" t="s">
        <v>242</v>
      </c>
      <c r="T27" s="38">
        <v>4</v>
      </c>
      <c r="U27" s="37"/>
      <c r="V27" s="37"/>
    </row>
    <row r="28" spans="1:25" x14ac:dyDescent="0.2">
      <c r="I28" s="166" t="s">
        <v>243</v>
      </c>
      <c r="J28" s="38">
        <v>497</v>
      </c>
      <c r="K28" s="37"/>
      <c r="L28" s="37"/>
      <c r="M28" s="163"/>
      <c r="N28" s="3" t="s">
        <v>243</v>
      </c>
      <c r="O28" s="38">
        <v>38</v>
      </c>
      <c r="P28" s="37"/>
      <c r="Q28" s="37"/>
      <c r="R28" s="2"/>
      <c r="S28" s="3" t="s">
        <v>243</v>
      </c>
      <c r="T28" s="38">
        <v>19</v>
      </c>
      <c r="U28" s="37"/>
      <c r="V28" s="37"/>
    </row>
    <row r="29" spans="1:25" x14ac:dyDescent="0.2">
      <c r="I29" s="166" t="s">
        <v>225</v>
      </c>
      <c r="J29" s="37"/>
      <c r="K29" s="38">
        <v>280</v>
      </c>
      <c r="L29" s="37"/>
      <c r="M29" s="163"/>
      <c r="N29" s="3" t="s">
        <v>225</v>
      </c>
      <c r="O29" s="37"/>
      <c r="P29" s="38"/>
      <c r="Q29" s="37"/>
      <c r="R29" s="2"/>
      <c r="S29" s="3" t="s">
        <v>225</v>
      </c>
      <c r="T29" s="37"/>
      <c r="U29" s="38"/>
      <c r="V29" s="37"/>
    </row>
    <row r="30" spans="1:25" x14ac:dyDescent="0.2">
      <c r="I30" s="166" t="s">
        <v>244</v>
      </c>
      <c r="J30" s="38">
        <v>166</v>
      </c>
      <c r="K30" s="37"/>
      <c r="L30" s="37"/>
      <c r="M30" s="163"/>
      <c r="N30" s="3" t="s">
        <v>244</v>
      </c>
      <c r="O30" s="38">
        <v>15</v>
      </c>
      <c r="P30" s="37"/>
      <c r="Q30" s="37"/>
      <c r="R30" s="2"/>
      <c r="S30" s="3" t="s">
        <v>244</v>
      </c>
      <c r="T30" s="38">
        <v>9</v>
      </c>
      <c r="U30" s="37"/>
      <c r="V30" s="37"/>
    </row>
    <row r="31" spans="1:25" x14ac:dyDescent="0.2">
      <c r="I31" s="166" t="s">
        <v>245</v>
      </c>
      <c r="J31" s="38">
        <v>186</v>
      </c>
      <c r="K31" s="37"/>
      <c r="L31" s="38">
        <v>134</v>
      </c>
      <c r="M31" s="163"/>
      <c r="N31" s="3" t="s">
        <v>245</v>
      </c>
      <c r="O31" s="38">
        <v>9</v>
      </c>
      <c r="P31" s="37"/>
      <c r="Q31" s="38"/>
      <c r="R31" s="2"/>
      <c r="S31" s="3" t="s">
        <v>245</v>
      </c>
      <c r="T31" s="38">
        <v>5</v>
      </c>
      <c r="U31" s="37"/>
      <c r="V31" s="38"/>
    </row>
    <row r="32" spans="1:25" x14ac:dyDescent="0.2">
      <c r="I32" s="166" t="s">
        <v>246</v>
      </c>
      <c r="J32" s="38">
        <v>200</v>
      </c>
      <c r="K32" s="37"/>
      <c r="L32" s="37"/>
      <c r="M32" s="163"/>
      <c r="N32" s="3" t="s">
        <v>246</v>
      </c>
      <c r="O32" s="38">
        <v>3</v>
      </c>
      <c r="P32" s="37"/>
      <c r="Q32" s="37"/>
      <c r="R32" s="2"/>
      <c r="S32" s="3" t="s">
        <v>246</v>
      </c>
      <c r="T32" s="38">
        <v>4</v>
      </c>
      <c r="U32" s="37"/>
      <c r="V32" s="37"/>
    </row>
    <row r="33" spans="1:22" x14ac:dyDescent="0.2">
      <c r="I33" s="166" t="s">
        <v>247</v>
      </c>
      <c r="J33" s="38">
        <v>134</v>
      </c>
      <c r="K33" s="37"/>
      <c r="L33" s="37"/>
      <c r="M33" s="163"/>
      <c r="N33" s="3" t="s">
        <v>247</v>
      </c>
      <c r="O33" s="38">
        <v>2</v>
      </c>
      <c r="P33" s="37"/>
      <c r="Q33" s="37"/>
      <c r="R33" s="2"/>
      <c r="S33" s="3" t="s">
        <v>247</v>
      </c>
      <c r="T33" s="38">
        <v>3</v>
      </c>
      <c r="U33" s="37"/>
      <c r="V33" s="37"/>
    </row>
    <row r="34" spans="1:22" x14ac:dyDescent="0.2">
      <c r="I34" s="166" t="s">
        <v>248</v>
      </c>
      <c r="J34" s="38">
        <v>273</v>
      </c>
      <c r="K34" s="37"/>
      <c r="L34" s="37"/>
      <c r="M34" s="163"/>
      <c r="N34" s="3" t="s">
        <v>248</v>
      </c>
      <c r="O34" s="38">
        <v>54</v>
      </c>
      <c r="P34" s="37"/>
      <c r="Q34" s="37"/>
      <c r="R34" s="2"/>
      <c r="S34" s="3" t="s">
        <v>248</v>
      </c>
      <c r="T34" s="38">
        <v>3</v>
      </c>
      <c r="U34" s="37"/>
      <c r="V34" s="37"/>
    </row>
    <row r="35" spans="1:22" s="1" customFormat="1" x14ac:dyDescent="0.2">
      <c r="A35" s="78"/>
      <c r="B35" s="5"/>
      <c r="I35" s="164" t="s">
        <v>47</v>
      </c>
      <c r="J35" s="5">
        <f>SUM(J24:J34)</f>
        <v>2163</v>
      </c>
      <c r="K35" s="5">
        <f>SUM(K24:K34)</f>
        <v>280</v>
      </c>
      <c r="L35" s="5">
        <f>SUM(L24:L34)</f>
        <v>134</v>
      </c>
      <c r="M35" s="5"/>
      <c r="N35" s="164" t="s">
        <v>47</v>
      </c>
      <c r="O35" s="5">
        <f>SUM(O24:O34)</f>
        <v>147</v>
      </c>
      <c r="P35" s="5">
        <f>SUM(P24:P34)</f>
        <v>0</v>
      </c>
      <c r="Q35" s="5">
        <f>SUM(Q24:Q34)</f>
        <v>0</v>
      </c>
      <c r="R35" s="5"/>
      <c r="S35" s="164" t="s">
        <v>47</v>
      </c>
      <c r="T35" s="5">
        <f>SUM(T24:T34)</f>
        <v>62</v>
      </c>
      <c r="U35" s="5">
        <f>SUM(U24:U34)</f>
        <v>0</v>
      </c>
      <c r="V35" s="5">
        <f>SUM(V24:V34)</f>
        <v>0</v>
      </c>
    </row>
  </sheetData>
  <mergeCells count="9">
    <mergeCell ref="B3:B4"/>
    <mergeCell ref="C3:C4"/>
    <mergeCell ref="F3:F4"/>
    <mergeCell ref="W3:Y3"/>
    <mergeCell ref="G3:I3"/>
    <mergeCell ref="J3:L3"/>
    <mergeCell ref="M3:O3"/>
    <mergeCell ref="Q3:S3"/>
    <mergeCell ref="T3:V3"/>
  </mergeCells>
  <pageMargins left="0.7" right="0.7" top="0.75" bottom="0.75" header="0.3" footer="0.3"/>
  <headerFooter>
    <oddFooter>&amp;C_x000D_&amp;1#&amp;"Calibri"&amp;8&amp;K000000 INTERNAL. This information is accessible to ADB Management and Staff. It may be shared outside ADB with appropriate permission.</oddFooter>
  </headerFooter>
  <ignoredErrors>
    <ignoredError sqref="M14:O1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1B88-10A2-A74E-B105-E967C49BA589}">
  <dimension ref="B1:E31"/>
  <sheetViews>
    <sheetView workbookViewId="0">
      <pane xSplit="2" ySplit="2" topLeftCell="C19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baseColWidth="10" defaultRowHeight="16" x14ac:dyDescent="0.2"/>
  <cols>
    <col min="1" max="1" width="10.83203125" style="68"/>
    <col min="2" max="2" width="39" style="68" customWidth="1"/>
    <col min="3" max="3" width="30.1640625" style="111" customWidth="1"/>
    <col min="4" max="5" width="28.6640625" style="111" customWidth="1"/>
    <col min="6" max="16384" width="10.83203125" style="68"/>
  </cols>
  <sheetData>
    <row r="1" spans="2:5" x14ac:dyDescent="0.2">
      <c r="C1" s="111">
        <f>1.47-0.07-1.02</f>
        <v>0.37999999999999989</v>
      </c>
    </row>
    <row r="2" spans="2:5" s="64" customFormat="1" ht="51" x14ac:dyDescent="0.2">
      <c r="B2" s="60" t="s">
        <v>228</v>
      </c>
      <c r="C2" s="62" t="s">
        <v>88</v>
      </c>
      <c r="D2" s="61" t="s">
        <v>116</v>
      </c>
      <c r="E2" s="61" t="s">
        <v>119</v>
      </c>
    </row>
    <row r="3" spans="2:5" s="64" customFormat="1" ht="17" x14ac:dyDescent="0.2">
      <c r="B3" s="60" t="s">
        <v>118</v>
      </c>
      <c r="C3" s="143" t="s">
        <v>117</v>
      </c>
      <c r="D3" s="143" t="s">
        <v>117</v>
      </c>
      <c r="E3" s="143" t="s">
        <v>117</v>
      </c>
    </row>
    <row r="4" spans="2:5" ht="85" x14ac:dyDescent="0.2">
      <c r="B4" s="108" t="s">
        <v>227</v>
      </c>
      <c r="C4" s="108" t="s">
        <v>408</v>
      </c>
      <c r="D4" s="108" t="s">
        <v>225</v>
      </c>
      <c r="E4" s="108" t="s">
        <v>263</v>
      </c>
    </row>
    <row r="5" spans="2:5" ht="17" x14ac:dyDescent="0.2">
      <c r="B5" s="99" t="s">
        <v>64</v>
      </c>
      <c r="C5" s="108" t="s">
        <v>275</v>
      </c>
      <c r="D5" s="108" t="s">
        <v>289</v>
      </c>
      <c r="E5" s="108" t="s">
        <v>294</v>
      </c>
    </row>
    <row r="6" spans="2:5" ht="34" x14ac:dyDescent="0.2">
      <c r="B6" s="99" t="s">
        <v>65</v>
      </c>
      <c r="C6" s="108" t="s">
        <v>274</v>
      </c>
      <c r="D6" s="108" t="s">
        <v>288</v>
      </c>
      <c r="E6" s="108" t="s">
        <v>407</v>
      </c>
    </row>
    <row r="7" spans="2:5" ht="17" x14ac:dyDescent="0.2">
      <c r="B7" s="99" t="s">
        <v>66</v>
      </c>
      <c r="C7" s="172">
        <v>1.02</v>
      </c>
      <c r="D7" s="172"/>
      <c r="E7" s="172"/>
    </row>
    <row r="8" spans="2:5" ht="17" x14ac:dyDescent="0.2">
      <c r="B8" s="99" t="s">
        <v>62</v>
      </c>
      <c r="C8" s="263">
        <f>(C7-0.89)/C7</f>
        <v>0.12745098039215685</v>
      </c>
      <c r="D8" s="172"/>
      <c r="E8" s="172"/>
    </row>
    <row r="9" spans="2:5" ht="17" x14ac:dyDescent="0.2">
      <c r="B9" s="99" t="s">
        <v>67</v>
      </c>
      <c r="C9" s="108">
        <v>24</v>
      </c>
      <c r="D9" s="108" t="s">
        <v>279</v>
      </c>
      <c r="E9" s="108" t="s">
        <v>261</v>
      </c>
    </row>
    <row r="10" spans="2:5" ht="34" x14ac:dyDescent="0.2">
      <c r="B10" s="99" t="s">
        <v>68</v>
      </c>
      <c r="C10" s="173"/>
      <c r="D10" s="173"/>
      <c r="E10" s="108" t="s">
        <v>295</v>
      </c>
    </row>
    <row r="11" spans="2:5" ht="17" x14ac:dyDescent="0.2">
      <c r="B11" s="99" t="s">
        <v>69</v>
      </c>
      <c r="C11" s="108" t="s">
        <v>155</v>
      </c>
      <c r="D11" s="108" t="s">
        <v>155</v>
      </c>
      <c r="E11" s="108" t="s">
        <v>155</v>
      </c>
    </row>
    <row r="12" spans="2:5" ht="17" x14ac:dyDescent="0.2">
      <c r="B12" s="99" t="s">
        <v>70</v>
      </c>
      <c r="C12" s="108" t="s">
        <v>266</v>
      </c>
      <c r="D12" s="108" t="s">
        <v>149</v>
      </c>
      <c r="E12" s="108" t="s">
        <v>262</v>
      </c>
    </row>
    <row r="13" spans="2:5" ht="17" x14ac:dyDescent="0.2">
      <c r="B13" s="99" t="s">
        <v>71</v>
      </c>
      <c r="C13" s="173"/>
      <c r="D13" s="173"/>
      <c r="E13" s="173"/>
    </row>
    <row r="14" spans="2:5" s="104" customFormat="1" x14ac:dyDescent="0.2">
      <c r="B14" s="102"/>
      <c r="C14" s="109"/>
      <c r="D14" s="109"/>
      <c r="E14" s="109"/>
    </row>
    <row r="15" spans="2:5" ht="17" x14ac:dyDescent="0.2">
      <c r="B15" s="99" t="s">
        <v>264</v>
      </c>
      <c r="C15" s="100"/>
      <c r="D15" s="100"/>
      <c r="E15" s="100"/>
    </row>
    <row r="16" spans="2:5" s="107" customFormat="1" ht="17" x14ac:dyDescent="0.2">
      <c r="B16" s="105" t="s">
        <v>73</v>
      </c>
      <c r="C16" s="145">
        <f>'Albur bgy details'!J35</f>
        <v>2163</v>
      </c>
      <c r="D16" s="145" t="s">
        <v>155</v>
      </c>
      <c r="E16" s="145" t="s">
        <v>155</v>
      </c>
    </row>
    <row r="17" spans="2:5" s="107" customFormat="1" ht="17" x14ac:dyDescent="0.2">
      <c r="B17" s="105" t="s">
        <v>74</v>
      </c>
      <c r="C17" s="145">
        <f>'Albur bgy details'!O35</f>
        <v>147</v>
      </c>
      <c r="D17" s="145" t="s">
        <v>155</v>
      </c>
      <c r="E17" s="145" t="s">
        <v>155</v>
      </c>
    </row>
    <row r="18" spans="2:5" s="107" customFormat="1" ht="17" x14ac:dyDescent="0.2">
      <c r="B18" s="105" t="s">
        <v>75</v>
      </c>
      <c r="C18" s="145">
        <f>'Albur bgy details'!T35</f>
        <v>62</v>
      </c>
      <c r="D18" s="145" t="s">
        <v>155</v>
      </c>
      <c r="E18" s="145" t="s">
        <v>155</v>
      </c>
    </row>
    <row r="19" spans="2:5" s="107" customFormat="1" ht="17" x14ac:dyDescent="0.2">
      <c r="B19" s="105" t="s">
        <v>77</v>
      </c>
      <c r="C19" s="145">
        <v>0</v>
      </c>
      <c r="D19" s="145" t="s">
        <v>155</v>
      </c>
      <c r="E19" s="145" t="s">
        <v>155</v>
      </c>
    </row>
    <row r="20" spans="2:5" s="107" customFormat="1" ht="17" x14ac:dyDescent="0.2">
      <c r="B20" s="105" t="s">
        <v>78</v>
      </c>
      <c r="C20" s="145">
        <v>0</v>
      </c>
      <c r="D20" s="145" t="s">
        <v>155</v>
      </c>
      <c r="E20" s="145" t="s">
        <v>155</v>
      </c>
    </row>
    <row r="21" spans="2:5" ht="17" x14ac:dyDescent="0.2">
      <c r="B21" s="101" t="s">
        <v>56</v>
      </c>
      <c r="C21" s="108">
        <f>SUM(C16:C20)</f>
        <v>2372</v>
      </c>
      <c r="D21" s="108">
        <f>'Albur bgy details'!K16</f>
        <v>280</v>
      </c>
      <c r="E21" s="108">
        <v>134</v>
      </c>
    </row>
    <row r="22" spans="2:5" ht="34" x14ac:dyDescent="0.2">
      <c r="B22" s="108" t="s">
        <v>154</v>
      </c>
      <c r="C22" s="108">
        <v>11.4</v>
      </c>
      <c r="D22" s="151">
        <v>2.7</v>
      </c>
      <c r="E22" s="108">
        <v>12</v>
      </c>
    </row>
    <row r="23" spans="2:5" s="104" customFormat="1" x14ac:dyDescent="0.2">
      <c r="B23" s="109"/>
      <c r="C23" s="109"/>
      <c r="D23" s="109"/>
      <c r="E23" s="109"/>
    </row>
    <row r="24" spans="2:5" ht="17" x14ac:dyDescent="0.2">
      <c r="B24" s="108" t="s">
        <v>80</v>
      </c>
      <c r="C24" s="157"/>
      <c r="D24" s="108"/>
      <c r="E24" s="108"/>
    </row>
    <row r="25" spans="2:5" ht="17" x14ac:dyDescent="0.2">
      <c r="B25" s="108" t="s">
        <v>160</v>
      </c>
      <c r="C25" s="157"/>
      <c r="D25" s="108"/>
      <c r="E25" s="108"/>
    </row>
    <row r="26" spans="2:5" ht="17" x14ac:dyDescent="0.2">
      <c r="B26" s="108" t="s">
        <v>82</v>
      </c>
      <c r="C26" s="157"/>
      <c r="D26" s="108"/>
      <c r="E26" s="108"/>
    </row>
    <row r="27" spans="2:5" ht="17" x14ac:dyDescent="0.2">
      <c r="B27" s="108" t="s">
        <v>83</v>
      </c>
      <c r="C27" s="157"/>
      <c r="D27" s="108"/>
      <c r="E27" s="108"/>
    </row>
    <row r="28" spans="2:5" ht="102" x14ac:dyDescent="0.2">
      <c r="B28" s="108" t="s">
        <v>85</v>
      </c>
      <c r="C28" s="153" t="s">
        <v>276</v>
      </c>
      <c r="D28" s="153" t="s">
        <v>278</v>
      </c>
      <c r="E28" s="153" t="s">
        <v>290</v>
      </c>
    </row>
    <row r="29" spans="2:5" ht="17" x14ac:dyDescent="0.2">
      <c r="B29" s="108" t="s">
        <v>84</v>
      </c>
      <c r="C29" s="108"/>
      <c r="D29" s="108"/>
      <c r="E29" s="153"/>
    </row>
    <row r="30" spans="2:5" s="104" customFormat="1" x14ac:dyDescent="0.2">
      <c r="B30" s="102"/>
      <c r="C30" s="103"/>
      <c r="D30" s="103"/>
      <c r="E30" s="103"/>
    </row>
    <row r="31" spans="2:5" ht="17" x14ac:dyDescent="0.2">
      <c r="B31" s="99" t="s">
        <v>165</v>
      </c>
      <c r="C31" s="100"/>
      <c r="D31" s="100"/>
      <c r="E31" s="10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6F73-434D-E449-A7AA-6B779CBBD7DF}">
  <dimension ref="A1:BA41"/>
  <sheetViews>
    <sheetView zoomScale="110" zoomScaleNormal="110" workbookViewId="0">
      <pane xSplit="3" ySplit="4" topLeftCell="O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baseColWidth="10" defaultRowHeight="16" x14ac:dyDescent="0.2"/>
  <cols>
    <col min="1" max="1" width="5.33203125" style="72" customWidth="1"/>
    <col min="2" max="2" width="6.5" style="2" customWidth="1"/>
    <col min="3" max="3" width="19.5" bestFit="1" customWidth="1"/>
    <col min="4" max="4" width="12.5" customWidth="1"/>
    <col min="5" max="5" width="9.33203125" customWidth="1"/>
    <col min="6" max="6" width="22.33203125" customWidth="1"/>
    <col min="7" max="7" width="12.5" customWidth="1"/>
    <col min="8" max="8" width="10.5" customWidth="1"/>
    <col min="9" max="9" width="11.1640625" customWidth="1"/>
    <col min="10" max="10" width="11" customWidth="1"/>
    <col min="11" max="11" width="9.1640625" customWidth="1"/>
    <col min="12" max="12" width="9.83203125" customWidth="1"/>
    <col min="13" max="13" width="10.33203125" customWidth="1"/>
    <col min="14" max="14" width="8.1640625" customWidth="1"/>
    <col min="15" max="15" width="8.1640625" style="72" customWidth="1"/>
    <col min="16" max="16" width="11.83203125" customWidth="1"/>
    <col min="17" max="17" width="10.6640625" customWidth="1"/>
    <col min="18" max="18" width="10.83203125" customWidth="1"/>
    <col min="19" max="20" width="11.5" customWidth="1"/>
    <col min="21" max="21" width="9.33203125" customWidth="1"/>
    <col min="22" max="22" width="9" customWidth="1"/>
    <col min="23" max="23" width="8.83203125" customWidth="1"/>
    <col min="24" max="24" width="12.1640625" customWidth="1"/>
    <col min="25" max="25" width="10.1640625" customWidth="1"/>
    <col min="26" max="26" width="11.6640625" customWidth="1"/>
    <col min="27" max="27" width="10.6640625" customWidth="1"/>
    <col min="28" max="28" width="9" customWidth="1"/>
    <col min="29" max="29" width="10.33203125" customWidth="1"/>
    <col min="30" max="30" width="9.1640625" customWidth="1"/>
    <col min="31" max="31" width="11.1640625" customWidth="1"/>
    <col min="32" max="34" width="14.5" customWidth="1"/>
  </cols>
  <sheetData>
    <row r="1" spans="1:53" s="72" customFormat="1" x14ac:dyDescent="0.2">
      <c r="B1" s="77"/>
      <c r="C1" s="78" t="s">
        <v>76</v>
      </c>
      <c r="D1" s="78">
        <v>4.5999999999999996</v>
      </c>
      <c r="E1" s="72" t="s">
        <v>49</v>
      </c>
    </row>
    <row r="2" spans="1:53" s="73" customFormat="1" x14ac:dyDescent="0.2">
      <c r="B2" s="131"/>
      <c r="F2" s="132"/>
    </row>
    <row r="3" spans="1:53" s="64" customFormat="1" ht="34" customHeight="1" x14ac:dyDescent="0.2">
      <c r="A3" s="132"/>
      <c r="B3" s="273"/>
      <c r="C3" s="273" t="s">
        <v>1</v>
      </c>
      <c r="D3" s="44" t="s">
        <v>124</v>
      </c>
      <c r="E3" s="44" t="s">
        <v>98</v>
      </c>
      <c r="F3" s="275" t="s">
        <v>55</v>
      </c>
      <c r="G3" s="278" t="s">
        <v>9</v>
      </c>
      <c r="H3" s="279"/>
      <c r="I3" s="279"/>
      <c r="J3" s="279"/>
      <c r="K3" s="279"/>
      <c r="L3" s="279"/>
      <c r="M3" s="279"/>
      <c r="N3" s="279"/>
      <c r="O3" s="95"/>
      <c r="P3" s="281" t="s">
        <v>10</v>
      </c>
      <c r="Q3" s="281"/>
      <c r="R3" s="281"/>
      <c r="S3" s="281"/>
      <c r="T3" s="281"/>
      <c r="U3" s="281"/>
      <c r="V3" s="281"/>
      <c r="W3" s="282"/>
      <c r="X3" s="272" t="s">
        <v>48</v>
      </c>
      <c r="Y3" s="281"/>
      <c r="Z3" s="281"/>
      <c r="AA3" s="281"/>
      <c r="AB3" s="281"/>
      <c r="AC3" s="281"/>
      <c r="AD3" s="281"/>
      <c r="AE3" s="282"/>
      <c r="AF3" s="95"/>
      <c r="AG3" s="283" t="s">
        <v>43</v>
      </c>
      <c r="AH3" s="284"/>
      <c r="AI3" s="284"/>
      <c r="AJ3" s="284"/>
      <c r="AK3" s="284"/>
      <c r="AL3" s="284"/>
      <c r="AM3" s="269"/>
      <c r="AN3" s="285" t="s">
        <v>62</v>
      </c>
      <c r="AO3" s="286"/>
      <c r="AP3" s="286"/>
      <c r="AQ3" s="286"/>
      <c r="AR3" s="286"/>
      <c r="AS3" s="286"/>
      <c r="AT3" s="287"/>
      <c r="AU3" s="288" t="s">
        <v>44</v>
      </c>
      <c r="AV3" s="289"/>
      <c r="AW3" s="289"/>
      <c r="AX3" s="289"/>
      <c r="AY3" s="289"/>
      <c r="AZ3" s="289"/>
      <c r="BA3" s="290"/>
    </row>
    <row r="4" spans="1:53" s="135" customFormat="1" ht="68" x14ac:dyDescent="0.2">
      <c r="A4" s="134"/>
      <c r="B4" s="274"/>
      <c r="C4" s="274"/>
      <c r="D4" s="44" t="s">
        <v>97</v>
      </c>
      <c r="E4" s="44" t="s">
        <v>137</v>
      </c>
      <c r="F4" s="276"/>
      <c r="G4" s="44" t="s">
        <v>89</v>
      </c>
      <c r="H4" s="44" t="s">
        <v>86</v>
      </c>
      <c r="I4" s="44" t="s">
        <v>4</v>
      </c>
      <c r="J4" s="44" t="s">
        <v>348</v>
      </c>
      <c r="K4" s="44" t="s">
        <v>357</v>
      </c>
      <c r="L4" s="44" t="s">
        <v>358</v>
      </c>
      <c r="M4" s="44" t="s">
        <v>378</v>
      </c>
      <c r="N4" s="247" t="s">
        <v>377</v>
      </c>
      <c r="O4" s="95"/>
      <c r="P4" s="248" t="str">
        <f t="shared" ref="P4:W4" si="0">G4</f>
        <v>Dauis Waterworks</v>
      </c>
      <c r="Q4" s="63" t="str">
        <f t="shared" si="0"/>
        <v>South Balibago</v>
      </c>
      <c r="R4" s="63" t="str">
        <f t="shared" si="0"/>
        <v>Richli</v>
      </c>
      <c r="S4" s="63" t="str">
        <f t="shared" si="0"/>
        <v>Biking Waterworks System (BLGU-run)</v>
      </c>
      <c r="T4" s="63" t="str">
        <f t="shared" si="0"/>
        <v>Brgy. Dao (BLGU-run)</v>
      </c>
      <c r="U4" s="63" t="str">
        <f t="shared" si="0"/>
        <v>Brgy. San Isidro (BLGU-run)</v>
      </c>
      <c r="V4" s="63" t="str">
        <f t="shared" si="0"/>
        <v>BLGU-run (Brgy. Tabalong)</v>
      </c>
      <c r="W4" s="63" t="str">
        <f t="shared" si="0"/>
        <v>BLGU-run (Brgy. Bingag)</v>
      </c>
      <c r="X4" s="63" t="str">
        <f>P4</f>
        <v>Dauis Waterworks</v>
      </c>
      <c r="Y4" s="63" t="str">
        <f t="shared" ref="Y4:AE4" si="1">Q4</f>
        <v>South Balibago</v>
      </c>
      <c r="Z4" s="63" t="str">
        <f t="shared" si="1"/>
        <v>Richli</v>
      </c>
      <c r="AA4" s="63" t="str">
        <f t="shared" si="1"/>
        <v>Biking Waterworks System (BLGU-run)</v>
      </c>
      <c r="AB4" s="63" t="str">
        <f t="shared" si="1"/>
        <v>Brgy. Dao (BLGU-run)</v>
      </c>
      <c r="AC4" s="63" t="str">
        <f t="shared" si="1"/>
        <v>Brgy. San Isidro (BLGU-run)</v>
      </c>
      <c r="AD4" s="63" t="str">
        <f t="shared" si="1"/>
        <v>BLGU-run (Brgy. Tabalong)</v>
      </c>
      <c r="AE4" s="63" t="str">
        <f t="shared" si="1"/>
        <v>BLGU-run (Brgy. Bingag)</v>
      </c>
      <c r="AF4" s="95"/>
      <c r="AG4" s="90" t="str">
        <f t="shared" ref="AG4:AL4" si="2">X4</f>
        <v>Dauis Waterworks</v>
      </c>
      <c r="AH4" s="61" t="str">
        <f t="shared" si="2"/>
        <v>South Balibago</v>
      </c>
      <c r="AI4" s="61" t="str">
        <f t="shared" si="2"/>
        <v>Richli</v>
      </c>
      <c r="AJ4" s="61" t="str">
        <f t="shared" si="2"/>
        <v>Biking Waterworks System (BLGU-run)</v>
      </c>
      <c r="AK4" s="61" t="str">
        <f t="shared" si="2"/>
        <v>Brgy. Dao (BLGU-run)</v>
      </c>
      <c r="AL4" s="61" t="str">
        <f t="shared" si="2"/>
        <v>Brgy. San Isidro (BLGU-run)</v>
      </c>
      <c r="AM4" s="61" t="str">
        <f t="shared" ref="AM4" si="3">AE4</f>
        <v>BLGU-run (Brgy. Bingag)</v>
      </c>
      <c r="AN4" s="133" t="str">
        <f t="shared" ref="AN4:AT4" si="4">AG4</f>
        <v>Dauis Waterworks</v>
      </c>
      <c r="AO4" s="133" t="str">
        <f t="shared" si="4"/>
        <v>South Balibago</v>
      </c>
      <c r="AP4" s="133" t="str">
        <f t="shared" si="4"/>
        <v>Richli</v>
      </c>
      <c r="AQ4" s="133" t="str">
        <f t="shared" si="4"/>
        <v>Biking Waterworks System (BLGU-run)</v>
      </c>
      <c r="AR4" s="133" t="str">
        <f t="shared" si="4"/>
        <v>Brgy. Dao (BLGU-run)</v>
      </c>
      <c r="AS4" s="133" t="str">
        <f t="shared" si="4"/>
        <v>Brgy. San Isidro (BLGU-run)</v>
      </c>
      <c r="AT4" s="133" t="str">
        <f t="shared" si="4"/>
        <v>BLGU-run (Brgy. Bingag)</v>
      </c>
      <c r="AU4" s="67" t="str">
        <f t="shared" ref="AU4:BA4" si="5">AN4</f>
        <v>Dauis Waterworks</v>
      </c>
      <c r="AV4" s="67" t="str">
        <f t="shared" si="5"/>
        <v>South Balibago</v>
      </c>
      <c r="AW4" s="67" t="str">
        <f t="shared" si="5"/>
        <v>Richli</v>
      </c>
      <c r="AX4" s="67" t="str">
        <f t="shared" si="5"/>
        <v>Biking Waterworks System (BLGU-run)</v>
      </c>
      <c r="AY4" s="67" t="str">
        <f t="shared" si="5"/>
        <v>Brgy. Dao (BLGU-run)</v>
      </c>
      <c r="AZ4" s="67" t="str">
        <f t="shared" si="5"/>
        <v>Brgy. San Isidro (BLGU-run)</v>
      </c>
      <c r="BA4" s="67" t="str">
        <f t="shared" si="5"/>
        <v>BLGU-run (Brgy. Bingag)</v>
      </c>
    </row>
    <row r="5" spans="1:53" s="68" customFormat="1" ht="34" x14ac:dyDescent="0.2">
      <c r="A5" s="73"/>
      <c r="B5" s="100">
        <v>1</v>
      </c>
      <c r="C5" s="99" t="s">
        <v>249</v>
      </c>
      <c r="D5" s="220">
        <v>4141.7798503409795</v>
      </c>
      <c r="E5" s="220">
        <f t="shared" ref="E5:E16" si="6">D5/$D$1</f>
        <v>900.38692398716955</v>
      </c>
      <c r="F5" s="99" t="s">
        <v>348</v>
      </c>
      <c r="G5" s="249" t="s">
        <v>36</v>
      </c>
      <c r="H5" s="221" t="s">
        <v>36</v>
      </c>
      <c r="I5" s="221" t="s">
        <v>36</v>
      </c>
      <c r="J5" s="221" t="s">
        <v>36</v>
      </c>
      <c r="K5" s="222"/>
      <c r="L5" s="222"/>
      <c r="M5" s="222"/>
      <c r="N5" s="250"/>
      <c r="O5" s="260"/>
      <c r="P5" s="254"/>
      <c r="Q5" s="100">
        <f t="shared" ref="Q5:Q16" si="7">M25+V25+AD25</f>
        <v>81</v>
      </c>
      <c r="R5" s="100" t="s">
        <v>59</v>
      </c>
      <c r="S5" s="100">
        <f t="shared" ref="S5:S16" si="8">P25+X25+AF25</f>
        <v>1000</v>
      </c>
      <c r="T5" s="223">
        <f t="shared" ref="T5:T16" si="9">Q25+Y25+AG25</f>
        <v>0</v>
      </c>
      <c r="U5" s="223">
        <f t="shared" ref="U5:U16" si="10">R25+Z25+AH25</f>
        <v>0</v>
      </c>
      <c r="V5" s="223"/>
      <c r="W5" s="223"/>
      <c r="X5" s="224"/>
      <c r="Y5" s="224">
        <f t="shared" ref="X5:Y10" si="11">M25/$E5</f>
        <v>7.7744354271628111E-2</v>
      </c>
      <c r="Z5" s="224" t="s">
        <v>59</v>
      </c>
      <c r="AA5" s="225">
        <f>P25/$E5</f>
        <v>1.1106336324518302</v>
      </c>
      <c r="AB5" s="181"/>
      <c r="AC5" s="181"/>
      <c r="AD5" s="181"/>
      <c r="AE5" s="181"/>
      <c r="AF5" s="226"/>
      <c r="AG5" s="227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</row>
    <row r="6" spans="1:53" ht="17" x14ac:dyDescent="0.2">
      <c r="B6" s="4">
        <v>2</v>
      </c>
      <c r="C6" s="3" t="s">
        <v>250</v>
      </c>
      <c r="D6" s="16">
        <v>5465.6510841579802</v>
      </c>
      <c r="E6" s="16">
        <f t="shared" si="6"/>
        <v>1188.1850182952132</v>
      </c>
      <c r="F6" s="3" t="s">
        <v>377</v>
      </c>
      <c r="G6" s="33"/>
      <c r="H6" s="33"/>
      <c r="I6" s="12" t="s">
        <v>36</v>
      </c>
      <c r="J6" s="167"/>
      <c r="K6" s="167"/>
      <c r="L6" s="167"/>
      <c r="M6" s="167"/>
      <c r="N6" s="251" t="s">
        <v>36</v>
      </c>
      <c r="O6" s="261"/>
      <c r="P6" s="255">
        <f t="shared" ref="P6:P16" si="12">L26+U26+AC26</f>
        <v>0</v>
      </c>
      <c r="Q6" s="138">
        <f t="shared" si="7"/>
        <v>0</v>
      </c>
      <c r="R6" s="4" t="s">
        <v>59</v>
      </c>
      <c r="S6" s="138">
        <f t="shared" si="8"/>
        <v>0</v>
      </c>
      <c r="T6" s="138">
        <f t="shared" si="9"/>
        <v>0</v>
      </c>
      <c r="U6" s="138">
        <f t="shared" si="10"/>
        <v>0</v>
      </c>
      <c r="V6" s="138"/>
      <c r="W6" s="4" t="s">
        <v>59</v>
      </c>
      <c r="X6" s="181">
        <f t="shared" si="11"/>
        <v>0</v>
      </c>
      <c r="Y6" s="238">
        <f t="shared" si="11"/>
        <v>0</v>
      </c>
      <c r="Z6" s="224" t="s">
        <v>59</v>
      </c>
      <c r="AA6" s="181"/>
      <c r="AB6" s="181"/>
      <c r="AC6" s="181"/>
      <c r="AD6" s="181"/>
      <c r="AE6" s="50" t="s">
        <v>59</v>
      </c>
      <c r="AF6" s="128"/>
      <c r="AG6" s="1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 ht="17" x14ac:dyDescent="0.2">
      <c r="B7" s="4">
        <v>3</v>
      </c>
      <c r="C7" s="3" t="s">
        <v>251</v>
      </c>
      <c r="D7" s="16">
        <v>5490.2663132426933</v>
      </c>
      <c r="E7" s="16">
        <f t="shared" si="6"/>
        <v>1193.5361550527596</v>
      </c>
      <c r="F7" s="3" t="s">
        <v>89</v>
      </c>
      <c r="G7" s="12" t="s">
        <v>36</v>
      </c>
      <c r="H7" s="33"/>
      <c r="I7" s="12" t="s">
        <v>36</v>
      </c>
      <c r="J7" s="167"/>
      <c r="K7" s="167"/>
      <c r="L7" s="167"/>
      <c r="M7" s="167"/>
      <c r="N7" s="252"/>
      <c r="O7" s="262"/>
      <c r="P7" s="254">
        <f t="shared" si="12"/>
        <v>1015</v>
      </c>
      <c r="Q7" s="138">
        <f t="shared" si="7"/>
        <v>0</v>
      </c>
      <c r="R7" s="4" t="s">
        <v>59</v>
      </c>
      <c r="S7" s="138">
        <f t="shared" si="8"/>
        <v>0</v>
      </c>
      <c r="T7" s="138">
        <f t="shared" si="9"/>
        <v>0</v>
      </c>
      <c r="U7" s="138">
        <f t="shared" si="10"/>
        <v>0</v>
      </c>
      <c r="V7" s="138"/>
      <c r="W7" s="138"/>
      <c r="X7" s="239">
        <f t="shared" si="11"/>
        <v>0.84371134945257364</v>
      </c>
      <c r="Y7" s="238">
        <f t="shared" si="11"/>
        <v>0</v>
      </c>
      <c r="Z7" s="224" t="s">
        <v>59</v>
      </c>
      <c r="AA7" s="181"/>
      <c r="AB7" s="181"/>
      <c r="AC7" s="181"/>
      <c r="AD7" s="181"/>
      <c r="AE7" s="181"/>
      <c r="AF7" s="128"/>
      <c r="AG7" s="1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 spans="1:53" ht="17" x14ac:dyDescent="0.2">
      <c r="B8" s="4">
        <v>4</v>
      </c>
      <c r="C8" s="3" t="s">
        <v>16</v>
      </c>
      <c r="D8" s="16">
        <v>2553.5624607011828</v>
      </c>
      <c r="E8" s="16">
        <f t="shared" si="6"/>
        <v>555.12227406547458</v>
      </c>
      <c r="F8" s="3" t="s">
        <v>357</v>
      </c>
      <c r="G8" s="33"/>
      <c r="H8" s="12" t="s">
        <v>36</v>
      </c>
      <c r="I8" s="12" t="s">
        <v>36</v>
      </c>
      <c r="J8" s="167"/>
      <c r="K8" s="12" t="s">
        <v>36</v>
      </c>
      <c r="L8" s="167"/>
      <c r="M8" s="167"/>
      <c r="N8" s="252"/>
      <c r="O8" s="262"/>
      <c r="P8" s="255">
        <f t="shared" si="12"/>
        <v>0</v>
      </c>
      <c r="Q8" s="4">
        <f t="shared" si="7"/>
        <v>40</v>
      </c>
      <c r="R8" s="4" t="s">
        <v>59</v>
      </c>
      <c r="S8" s="138">
        <f t="shared" si="8"/>
        <v>0</v>
      </c>
      <c r="T8" s="4">
        <f t="shared" si="9"/>
        <v>527</v>
      </c>
      <c r="U8" s="138">
        <f t="shared" si="10"/>
        <v>0</v>
      </c>
      <c r="V8" s="138"/>
      <c r="W8" s="138"/>
      <c r="X8" s="181">
        <f t="shared" si="11"/>
        <v>0</v>
      </c>
      <c r="Y8" s="59">
        <f t="shared" si="11"/>
        <v>4.5035123193509878E-2</v>
      </c>
      <c r="Z8" s="224" t="s">
        <v>59</v>
      </c>
      <c r="AA8" s="241"/>
      <c r="AB8" s="50">
        <f>Q28/$E8</f>
        <v>0.94934039691918815</v>
      </c>
      <c r="AC8" s="181"/>
      <c r="AD8" s="181"/>
      <c r="AE8" s="181"/>
      <c r="AF8" s="128"/>
      <c r="AG8" s="124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 spans="1:53" ht="17" x14ac:dyDescent="0.2">
      <c r="B9" s="4">
        <v>5</v>
      </c>
      <c r="C9" s="3" t="s">
        <v>252</v>
      </c>
      <c r="D9" s="16">
        <v>4063.6532536808004</v>
      </c>
      <c r="E9" s="16">
        <f t="shared" si="6"/>
        <v>883.40288123495668</v>
      </c>
      <c r="F9" s="3" t="s">
        <v>89</v>
      </c>
      <c r="G9" s="12" t="s">
        <v>36</v>
      </c>
      <c r="H9" s="33"/>
      <c r="I9" s="12" t="s">
        <v>36</v>
      </c>
      <c r="J9" s="167"/>
      <c r="K9" s="167"/>
      <c r="L9" s="167"/>
      <c r="M9" s="167"/>
      <c r="N9" s="252"/>
      <c r="O9" s="262"/>
      <c r="P9" s="256">
        <f t="shared" si="12"/>
        <v>1486</v>
      </c>
      <c r="Q9" s="138">
        <f t="shared" si="7"/>
        <v>0</v>
      </c>
      <c r="R9" s="4" t="s">
        <v>59</v>
      </c>
      <c r="S9" s="138">
        <f t="shared" si="8"/>
        <v>0</v>
      </c>
      <c r="T9" s="138">
        <f t="shared" si="9"/>
        <v>0</v>
      </c>
      <c r="U9" s="138">
        <f t="shared" si="10"/>
        <v>0</v>
      </c>
      <c r="V9" s="138"/>
      <c r="W9" s="138"/>
      <c r="X9" s="239">
        <f t="shared" si="11"/>
        <v>1.670811847406044</v>
      </c>
      <c r="Y9" s="238">
        <f t="shared" si="11"/>
        <v>0</v>
      </c>
      <c r="Z9" s="224" t="s">
        <v>59</v>
      </c>
      <c r="AA9" s="181"/>
      <c r="AB9" s="181"/>
      <c r="AC9" s="181"/>
      <c r="AD9" s="181"/>
      <c r="AE9" s="181"/>
      <c r="AF9" s="128"/>
      <c r="AG9" s="124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</row>
    <row r="10" spans="1:53" ht="17" x14ac:dyDescent="0.2">
      <c r="B10" s="4">
        <v>6</v>
      </c>
      <c r="C10" s="3" t="s">
        <v>253</v>
      </c>
      <c r="D10" s="16">
        <v>5202.3751556866928</v>
      </c>
      <c r="E10" s="16">
        <f t="shared" si="6"/>
        <v>1130.9511208014551</v>
      </c>
      <c r="F10" s="3" t="s">
        <v>89</v>
      </c>
      <c r="G10" s="12" t="s">
        <v>36</v>
      </c>
      <c r="H10" s="33"/>
      <c r="I10" s="12" t="s">
        <v>36</v>
      </c>
      <c r="J10" s="167"/>
      <c r="K10" s="167"/>
      <c r="L10" s="167"/>
      <c r="M10" s="167"/>
      <c r="N10" s="252"/>
      <c r="O10" s="262"/>
      <c r="P10" s="257">
        <f t="shared" si="12"/>
        <v>957</v>
      </c>
      <c r="Q10" s="138">
        <f t="shared" si="7"/>
        <v>0</v>
      </c>
      <c r="R10" s="4" t="s">
        <v>59</v>
      </c>
      <c r="S10" s="138">
        <f t="shared" si="8"/>
        <v>0</v>
      </c>
      <c r="T10" s="138">
        <f t="shared" si="9"/>
        <v>0</v>
      </c>
      <c r="U10" s="138">
        <f t="shared" si="10"/>
        <v>0</v>
      </c>
      <c r="V10" s="138"/>
      <c r="W10" s="138"/>
      <c r="X10" s="240">
        <f t="shared" si="11"/>
        <v>0.84619041654233151</v>
      </c>
      <c r="Y10" s="238">
        <f t="shared" si="11"/>
        <v>0</v>
      </c>
      <c r="Z10" s="224" t="s">
        <v>59</v>
      </c>
      <c r="AA10" s="181"/>
      <c r="AB10" s="181"/>
      <c r="AC10" s="181"/>
      <c r="AD10" s="181"/>
      <c r="AE10" s="181"/>
      <c r="AF10" s="128"/>
      <c r="AG10" s="124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</row>
    <row r="11" spans="1:53" ht="17" x14ac:dyDescent="0.2">
      <c r="B11" s="4">
        <v>7</v>
      </c>
      <c r="C11" s="3" t="s">
        <v>33</v>
      </c>
      <c r="D11" s="16">
        <v>3184.9965980916681</v>
      </c>
      <c r="E11" s="16">
        <f t="shared" si="6"/>
        <v>692.39056480253657</v>
      </c>
      <c r="F11" s="3" t="s">
        <v>89</v>
      </c>
      <c r="G11" s="12" t="s">
        <v>36</v>
      </c>
      <c r="H11" s="33"/>
      <c r="I11" s="12" t="s">
        <v>36</v>
      </c>
      <c r="J11" s="167"/>
      <c r="K11" s="167"/>
      <c r="L11" s="167"/>
      <c r="M11" s="167"/>
      <c r="N11" s="252"/>
      <c r="O11" s="262"/>
      <c r="P11" s="254">
        <f t="shared" si="12"/>
        <v>639</v>
      </c>
      <c r="Q11" s="138">
        <f t="shared" si="7"/>
        <v>0</v>
      </c>
      <c r="R11" s="4" t="s">
        <v>59</v>
      </c>
      <c r="S11" s="138">
        <f t="shared" si="8"/>
        <v>0</v>
      </c>
      <c r="T11" s="138">
        <f t="shared" si="9"/>
        <v>0</v>
      </c>
      <c r="U11" s="138">
        <f t="shared" si="10"/>
        <v>0</v>
      </c>
      <c r="V11" s="138"/>
      <c r="W11" s="138"/>
      <c r="X11" s="239">
        <f t="shared" ref="X11:X17" si="13">L31/$E11</f>
        <v>0.89255982304762904</v>
      </c>
      <c r="Y11" s="238">
        <f>M33/$E11</f>
        <v>0</v>
      </c>
      <c r="Z11" s="224" t="s">
        <v>59</v>
      </c>
      <c r="AA11" s="181"/>
      <c r="AB11" s="181"/>
      <c r="AC11" s="181"/>
      <c r="AD11" s="181"/>
      <c r="AE11" s="181"/>
      <c r="AF11" s="128"/>
      <c r="AG11" s="124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</row>
    <row r="12" spans="1:53" ht="17" x14ac:dyDescent="0.2">
      <c r="B12" s="4">
        <v>8</v>
      </c>
      <c r="C12" s="3" t="s">
        <v>254</v>
      </c>
      <c r="D12" s="16">
        <v>1926.4092327167346</v>
      </c>
      <c r="E12" s="16">
        <f t="shared" si="6"/>
        <v>418.7846158079858</v>
      </c>
      <c r="F12" s="3" t="s">
        <v>358</v>
      </c>
      <c r="G12" s="33"/>
      <c r="H12" s="12" t="s">
        <v>36</v>
      </c>
      <c r="I12" s="12" t="s">
        <v>36</v>
      </c>
      <c r="J12" s="167"/>
      <c r="K12" s="167"/>
      <c r="L12" s="12" t="s">
        <v>36</v>
      </c>
      <c r="M12" s="167"/>
      <c r="N12" s="252"/>
      <c r="O12" s="262"/>
      <c r="P12" s="255">
        <f t="shared" si="12"/>
        <v>0</v>
      </c>
      <c r="Q12" s="4">
        <f t="shared" si="7"/>
        <v>16</v>
      </c>
      <c r="R12" s="4" t="s">
        <v>59</v>
      </c>
      <c r="S12" s="138">
        <f t="shared" si="8"/>
        <v>0</v>
      </c>
      <c r="T12" s="138">
        <f t="shared" si="9"/>
        <v>0</v>
      </c>
      <c r="U12" s="4">
        <f t="shared" si="10"/>
        <v>1000</v>
      </c>
      <c r="V12" s="138"/>
      <c r="W12" s="138"/>
      <c r="X12" s="181">
        <f t="shared" si="13"/>
        <v>0</v>
      </c>
      <c r="Y12" s="238">
        <f>M34/$E12</f>
        <v>0</v>
      </c>
      <c r="Z12" s="224" t="s">
        <v>59</v>
      </c>
      <c r="AA12" s="241"/>
      <c r="AB12" s="181"/>
      <c r="AC12" s="50">
        <f>R32/$E12</f>
        <v>2.3878623097714349</v>
      </c>
      <c r="AD12" s="181"/>
      <c r="AE12" s="181"/>
      <c r="AF12" s="128"/>
      <c r="AG12" s="124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ht="17" x14ac:dyDescent="0.2">
      <c r="B13" s="4">
        <v>9</v>
      </c>
      <c r="C13" s="3" t="s">
        <v>255</v>
      </c>
      <c r="D13" s="16">
        <v>5487.0556311881664</v>
      </c>
      <c r="E13" s="16">
        <f t="shared" si="6"/>
        <v>1192.8381806930797</v>
      </c>
      <c r="F13" s="3" t="s">
        <v>89</v>
      </c>
      <c r="G13" s="12" t="s">
        <v>36</v>
      </c>
      <c r="H13" s="33"/>
      <c r="I13" s="12" t="s">
        <v>36</v>
      </c>
      <c r="J13" s="167"/>
      <c r="K13" s="167"/>
      <c r="L13" s="167"/>
      <c r="M13" s="167"/>
      <c r="N13" s="252"/>
      <c r="O13" s="262"/>
      <c r="P13" s="254">
        <f t="shared" si="12"/>
        <v>762</v>
      </c>
      <c r="Q13" s="138">
        <f t="shared" si="7"/>
        <v>0</v>
      </c>
      <c r="R13" s="4" t="s">
        <v>59</v>
      </c>
      <c r="S13" s="138">
        <f t="shared" si="8"/>
        <v>0</v>
      </c>
      <c r="T13" s="138">
        <f t="shared" si="9"/>
        <v>0</v>
      </c>
      <c r="U13" s="138">
        <f t="shared" si="10"/>
        <v>0</v>
      </c>
      <c r="V13" s="138"/>
      <c r="W13" s="138"/>
      <c r="X13" s="239">
        <f t="shared" si="13"/>
        <v>0.63713587668564908</v>
      </c>
      <c r="Y13" s="238">
        <f>M35/$E13</f>
        <v>0</v>
      </c>
      <c r="Z13" s="224" t="s">
        <v>59</v>
      </c>
      <c r="AA13" s="181"/>
      <c r="AB13" s="181"/>
      <c r="AC13" s="181"/>
      <c r="AD13" s="181"/>
      <c r="AE13" s="181"/>
      <c r="AF13" s="128"/>
      <c r="AG13" s="124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ht="17" x14ac:dyDescent="0.2">
      <c r="B14" s="4">
        <v>10</v>
      </c>
      <c r="C14" s="3" t="s">
        <v>256</v>
      </c>
      <c r="D14" s="16">
        <v>6637.5500340606595</v>
      </c>
      <c r="E14" s="16">
        <f t="shared" si="6"/>
        <v>1442.9456595784043</v>
      </c>
      <c r="F14" s="3" t="s">
        <v>378</v>
      </c>
      <c r="G14" s="33"/>
      <c r="H14" s="33"/>
      <c r="I14" s="12" t="s">
        <v>36</v>
      </c>
      <c r="J14" s="167"/>
      <c r="K14" s="167"/>
      <c r="L14" s="167"/>
      <c r="M14" s="12" t="s">
        <v>36</v>
      </c>
      <c r="N14" s="252"/>
      <c r="O14" s="262"/>
      <c r="P14" s="255">
        <f t="shared" si="12"/>
        <v>0</v>
      </c>
      <c r="Q14" s="138">
        <f t="shared" si="7"/>
        <v>0</v>
      </c>
      <c r="R14" s="4" t="s">
        <v>59</v>
      </c>
      <c r="S14" s="138">
        <f t="shared" si="8"/>
        <v>0</v>
      </c>
      <c r="T14" s="138">
        <f t="shared" si="9"/>
        <v>0</v>
      </c>
      <c r="U14" s="138">
        <f t="shared" si="10"/>
        <v>0</v>
      </c>
      <c r="V14" s="4" t="s">
        <v>59</v>
      </c>
      <c r="W14" s="138"/>
      <c r="X14" s="181">
        <f t="shared" si="13"/>
        <v>0</v>
      </c>
      <c r="Y14" s="238">
        <f>M34/$E14</f>
        <v>0</v>
      </c>
      <c r="Z14" s="224" t="s">
        <v>59</v>
      </c>
      <c r="AA14" s="181"/>
      <c r="AB14" s="181"/>
      <c r="AC14" s="181"/>
      <c r="AD14" s="181"/>
      <c r="AE14" s="181"/>
      <c r="AF14" s="128"/>
      <c r="AG14" s="124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ht="17" x14ac:dyDescent="0.2">
      <c r="B15" s="4">
        <v>11</v>
      </c>
      <c r="C15" s="3" t="s">
        <v>257</v>
      </c>
      <c r="D15" s="16">
        <v>3558.5059437684126</v>
      </c>
      <c r="E15" s="16">
        <f t="shared" si="6"/>
        <v>773.5882486453072</v>
      </c>
      <c r="F15" s="3" t="s">
        <v>89</v>
      </c>
      <c r="G15" s="12" t="s">
        <v>36</v>
      </c>
      <c r="H15" s="33"/>
      <c r="I15" s="12" t="s">
        <v>36</v>
      </c>
      <c r="J15" s="167"/>
      <c r="K15" s="167"/>
      <c r="L15" s="167"/>
      <c r="M15" s="167"/>
      <c r="N15" s="252"/>
      <c r="O15" s="262"/>
      <c r="P15" s="254">
        <f t="shared" si="12"/>
        <v>1020</v>
      </c>
      <c r="Q15" s="138">
        <f t="shared" si="7"/>
        <v>0</v>
      </c>
      <c r="R15" s="4" t="s">
        <v>59</v>
      </c>
      <c r="S15" s="138">
        <f t="shared" si="8"/>
        <v>0</v>
      </c>
      <c r="T15" s="138">
        <f t="shared" si="9"/>
        <v>0</v>
      </c>
      <c r="U15" s="138">
        <f t="shared" si="10"/>
        <v>0</v>
      </c>
      <c r="V15" s="138"/>
      <c r="W15" s="138"/>
      <c r="X15" s="239">
        <f t="shared" si="13"/>
        <v>1.3056041140344266</v>
      </c>
      <c r="Y15" s="238">
        <f>M35/$E15</f>
        <v>0</v>
      </c>
      <c r="Z15" s="224" t="s">
        <v>59</v>
      </c>
      <c r="AA15" s="181"/>
      <c r="AB15" s="181"/>
      <c r="AC15" s="181"/>
      <c r="AD15" s="50" t="s">
        <v>59</v>
      </c>
      <c r="AE15" s="181"/>
      <c r="AF15" s="128"/>
      <c r="AG15" s="124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 spans="1:53" ht="17" x14ac:dyDescent="0.2">
      <c r="B16" s="4">
        <v>12</v>
      </c>
      <c r="C16" s="3" t="s">
        <v>258</v>
      </c>
      <c r="D16" s="16">
        <v>8466.5685777900489</v>
      </c>
      <c r="E16" s="16">
        <f t="shared" si="6"/>
        <v>1840.5583864760977</v>
      </c>
      <c r="F16" s="3" t="s">
        <v>89</v>
      </c>
      <c r="G16" s="12" t="s">
        <v>36</v>
      </c>
      <c r="H16" s="33"/>
      <c r="I16" s="12" t="s">
        <v>36</v>
      </c>
      <c r="J16" s="167"/>
      <c r="K16" s="167"/>
      <c r="L16" s="167"/>
      <c r="M16" s="167"/>
      <c r="N16" s="252"/>
      <c r="O16" s="262"/>
      <c r="P16" s="254">
        <f t="shared" si="12"/>
        <v>522</v>
      </c>
      <c r="Q16" s="138">
        <f t="shared" si="7"/>
        <v>0</v>
      </c>
      <c r="R16" s="4" t="s">
        <v>59</v>
      </c>
      <c r="S16" s="138">
        <f t="shared" si="8"/>
        <v>0</v>
      </c>
      <c r="T16" s="138">
        <f t="shared" si="9"/>
        <v>0</v>
      </c>
      <c r="U16" s="138">
        <f t="shared" si="10"/>
        <v>0</v>
      </c>
      <c r="V16" s="138"/>
      <c r="W16" s="138"/>
      <c r="X16" s="239">
        <f t="shared" si="13"/>
        <v>0.27871976448526647</v>
      </c>
      <c r="Y16" s="238">
        <f>M36/$E16</f>
        <v>0</v>
      </c>
      <c r="Z16" s="224" t="s">
        <v>59</v>
      </c>
      <c r="AA16" s="181"/>
      <c r="AB16" s="181"/>
      <c r="AC16" s="181"/>
      <c r="AD16" s="181"/>
      <c r="AE16" s="181"/>
      <c r="AF16" s="128"/>
      <c r="AG16" s="124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 s="1" customFormat="1" x14ac:dyDescent="0.2">
      <c r="A17" s="78"/>
      <c r="B17" s="79"/>
      <c r="C17" s="136" t="s">
        <v>47</v>
      </c>
      <c r="D17" s="137">
        <f>SUM(D5:D16)</f>
        <v>56178.37413542602</v>
      </c>
      <c r="E17" s="137">
        <f>SUM(E5:E16)</f>
        <v>12212.690029440439</v>
      </c>
      <c r="F17" s="136"/>
      <c r="G17" s="79"/>
      <c r="H17" s="79"/>
      <c r="I17" s="136"/>
      <c r="J17" s="136"/>
      <c r="K17" s="136"/>
      <c r="L17" s="136"/>
      <c r="M17" s="79"/>
      <c r="N17" s="253"/>
      <c r="O17" s="127"/>
      <c r="P17" s="258">
        <f>SUM(P5:P16)</f>
        <v>6401</v>
      </c>
      <c r="Q17" s="79">
        <f t="shared" ref="Q17:U17" si="14">SUM(Q5:Q16)</f>
        <v>137</v>
      </c>
      <c r="R17" s="79" t="s">
        <v>59</v>
      </c>
      <c r="S17" s="79">
        <f t="shared" si="14"/>
        <v>1000</v>
      </c>
      <c r="T17" s="79">
        <f t="shared" si="14"/>
        <v>527</v>
      </c>
      <c r="U17" s="79">
        <f t="shared" si="14"/>
        <v>1000</v>
      </c>
      <c r="V17" s="79" t="s">
        <v>59</v>
      </c>
      <c r="W17" s="79" t="s">
        <v>59</v>
      </c>
      <c r="X17" s="80">
        <f t="shared" si="13"/>
        <v>0.51921402940008399</v>
      </c>
      <c r="Y17" s="80">
        <f>M37/$E17</f>
        <v>8.2700862591718154E-3</v>
      </c>
      <c r="Z17" s="80" t="s">
        <v>59</v>
      </c>
      <c r="AA17" s="80">
        <f>P37/$E17</f>
        <v>8.1882042170017974E-2</v>
      </c>
      <c r="AB17" s="80">
        <f>Q37/$E17</f>
        <v>4.3151836223599471E-2</v>
      </c>
      <c r="AC17" s="80">
        <f>R37/$E17</f>
        <v>8.1882042170017974E-2</v>
      </c>
      <c r="AD17" s="80" t="s">
        <v>59</v>
      </c>
      <c r="AE17" s="80" t="s">
        <v>59</v>
      </c>
      <c r="AF17" s="127"/>
      <c r="AG17" s="154"/>
      <c r="AH17" s="36"/>
      <c r="AI17" s="36"/>
      <c r="AJ17" s="36"/>
      <c r="AK17" s="36"/>
      <c r="AL17" s="36"/>
      <c r="AM17" s="36"/>
      <c r="AN17" s="114"/>
      <c r="AO17" s="115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</row>
    <row r="18" spans="1:53" s="1" customFormat="1" x14ac:dyDescent="0.2">
      <c r="A18" s="78"/>
      <c r="B18" s="117"/>
      <c r="C18" s="118"/>
      <c r="D18" s="119"/>
      <c r="E18" s="119"/>
      <c r="F18" s="118"/>
      <c r="G18" s="117"/>
      <c r="H18" s="117"/>
      <c r="I18" s="118"/>
      <c r="J18" s="118"/>
      <c r="K18" s="118"/>
      <c r="L18" s="118"/>
      <c r="M18" s="117"/>
      <c r="N18" s="117"/>
      <c r="O18" s="259"/>
      <c r="P18" s="117"/>
      <c r="Q18" s="117"/>
      <c r="R18" s="117"/>
      <c r="S18" s="117"/>
      <c r="T18" s="117"/>
      <c r="U18" s="117"/>
      <c r="V18" s="117"/>
      <c r="W18" s="117"/>
      <c r="X18" s="120"/>
      <c r="Y18" s="120"/>
      <c r="Z18" s="120"/>
      <c r="AA18" s="120"/>
      <c r="AB18" s="120"/>
      <c r="AC18" s="120"/>
      <c r="AD18" s="120"/>
      <c r="AE18" s="117"/>
      <c r="AF18" s="127"/>
      <c r="AG18" s="118"/>
      <c r="AH18" s="118"/>
      <c r="AI18" s="118"/>
      <c r="AJ18" s="118"/>
      <c r="AK18" s="118"/>
      <c r="AL18" s="118"/>
      <c r="AM18" s="118"/>
      <c r="AN18" s="118"/>
      <c r="AO18" s="121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</row>
    <row r="19" spans="1:53" s="15" customFormat="1" ht="74" customHeight="1" x14ac:dyDescent="0.2">
      <c r="A19" s="112"/>
      <c r="B19" s="81"/>
      <c r="C19" s="82" t="s">
        <v>37</v>
      </c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242"/>
      <c r="P19" s="82"/>
      <c r="Q19" s="82"/>
      <c r="R19" s="82"/>
      <c r="S19" s="82"/>
      <c r="T19" s="82"/>
      <c r="U19" s="81"/>
      <c r="V19" s="81"/>
      <c r="W19" s="81"/>
      <c r="X19" s="116"/>
      <c r="Y19" s="81"/>
      <c r="Z19" s="81"/>
      <c r="AA19" s="81"/>
      <c r="AB19" s="81"/>
      <c r="AC19" s="81"/>
      <c r="AD19" s="122"/>
      <c r="AE19" s="122"/>
      <c r="AF19" s="129"/>
      <c r="AG19" s="125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</row>
    <row r="20" spans="1:53" s="11" customFormat="1" ht="88" customHeight="1" x14ac:dyDescent="0.2">
      <c r="A20" s="113"/>
      <c r="B20" s="9"/>
      <c r="C20" s="10" t="s">
        <v>40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243"/>
      <c r="P20" s="10"/>
      <c r="Q20" s="10"/>
      <c r="R20" s="10"/>
      <c r="S20" s="10"/>
      <c r="T20" s="10"/>
      <c r="U20" s="10"/>
      <c r="V20" s="10"/>
      <c r="W20" s="10"/>
      <c r="X20" s="58"/>
      <c r="Y20" s="10"/>
      <c r="Z20" s="10"/>
      <c r="AA20" s="10"/>
      <c r="AB20" s="10"/>
      <c r="AC20" s="10"/>
      <c r="AD20" s="123"/>
      <c r="AE20" s="123"/>
      <c r="AF20" s="130"/>
      <c r="AG20" s="126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</row>
    <row r="22" spans="1:53" x14ac:dyDescent="0.2">
      <c r="L22" s="1" t="s">
        <v>90</v>
      </c>
      <c r="M22" s="1"/>
      <c r="N22" s="1"/>
      <c r="O22" s="78"/>
      <c r="P22" s="1"/>
      <c r="Q22" s="1"/>
      <c r="R22" s="1"/>
      <c r="T22" s="1"/>
      <c r="U22" s="1" t="s">
        <v>74</v>
      </c>
      <c r="AD22" s="1" t="s">
        <v>75</v>
      </c>
    </row>
    <row r="23" spans="1:53" x14ac:dyDescent="0.2">
      <c r="L23" s="2" t="s">
        <v>259</v>
      </c>
      <c r="M23" s="2" t="s">
        <v>150</v>
      </c>
      <c r="N23" s="2"/>
      <c r="O23" s="77"/>
      <c r="U23" s="2"/>
      <c r="V23" s="2"/>
      <c r="AD23" s="2"/>
      <c r="AE23" s="2"/>
    </row>
    <row r="24" spans="1:53" s="68" customFormat="1" ht="68" x14ac:dyDescent="0.2">
      <c r="A24" s="73"/>
      <c r="B24" s="111"/>
      <c r="L24" s="219" t="s">
        <v>89</v>
      </c>
      <c r="M24" s="219" t="s">
        <v>86</v>
      </c>
      <c r="N24" s="219" t="s">
        <v>4</v>
      </c>
      <c r="O24" s="244"/>
      <c r="P24" s="219" t="s">
        <v>348</v>
      </c>
      <c r="Q24" s="219" t="s">
        <v>357</v>
      </c>
      <c r="R24" s="219" t="s">
        <v>358</v>
      </c>
      <c r="U24" s="219" t="str">
        <f>L24</f>
        <v>Dauis Waterworks</v>
      </c>
      <c r="V24" s="219" t="str">
        <f>M24</f>
        <v>South Balibago</v>
      </c>
      <c r="W24" s="219" t="str">
        <f>N24</f>
        <v>Richli</v>
      </c>
      <c r="X24" s="219" t="str">
        <f t="shared" ref="X24:Z24" si="15">P24</f>
        <v>Biking Waterworks System (BLGU-run)</v>
      </c>
      <c r="Y24" s="219" t="str">
        <f t="shared" si="15"/>
        <v>Brgy. Dao (BLGU-run)</v>
      </c>
      <c r="Z24" s="219" t="str">
        <f t="shared" si="15"/>
        <v>Brgy. San Isidro (BLGU-run)</v>
      </c>
      <c r="AC24" s="219" t="str">
        <f>L24</f>
        <v>Dauis Waterworks</v>
      </c>
      <c r="AD24" s="219" t="str">
        <f>M24</f>
        <v>South Balibago</v>
      </c>
      <c r="AE24" s="219" t="str">
        <f>N24</f>
        <v>Richli</v>
      </c>
      <c r="AF24" s="219" t="str">
        <f t="shared" ref="AF24:AH24" si="16">P24</f>
        <v>Biking Waterworks System (BLGU-run)</v>
      </c>
      <c r="AG24" s="219" t="str">
        <f t="shared" si="16"/>
        <v>Brgy. Dao (BLGU-run)</v>
      </c>
      <c r="AH24" s="219" t="str">
        <f t="shared" si="16"/>
        <v>Brgy. San Isidro (BLGU-run)</v>
      </c>
    </row>
    <row r="25" spans="1:53" x14ac:dyDescent="0.2">
      <c r="K25" s="166" t="s">
        <v>249</v>
      </c>
      <c r="L25" s="37"/>
      <c r="M25" s="38">
        <v>70</v>
      </c>
      <c r="N25" s="38" t="s">
        <v>59</v>
      </c>
      <c r="O25" s="77"/>
      <c r="P25" s="38">
        <v>1000</v>
      </c>
      <c r="Q25" s="37"/>
      <c r="R25" s="37"/>
      <c r="T25" s="3" t="str">
        <f t="shared" ref="T25:T36" si="17">K25</f>
        <v>Biking</v>
      </c>
      <c r="U25" s="208"/>
      <c r="V25" s="38">
        <v>11</v>
      </c>
      <c r="W25" s="38"/>
      <c r="X25" s="38"/>
      <c r="Y25" s="37"/>
      <c r="Z25" s="37"/>
      <c r="AB25" s="3" t="str">
        <f t="shared" ref="AB25:AB36" si="18">T25</f>
        <v>Biking</v>
      </c>
      <c r="AC25" s="208"/>
      <c r="AD25" s="178"/>
      <c r="AE25" s="178"/>
      <c r="AF25" s="38"/>
      <c r="AG25" s="179"/>
      <c r="AH25" s="179"/>
    </row>
    <row r="26" spans="1:53" x14ac:dyDescent="0.2">
      <c r="K26" s="166" t="s">
        <v>250</v>
      </c>
      <c r="L26" s="37"/>
      <c r="M26" s="37"/>
      <c r="N26" s="38" t="s">
        <v>59</v>
      </c>
      <c r="O26" s="77"/>
      <c r="P26" s="37"/>
      <c r="Q26" s="37"/>
      <c r="R26" s="37"/>
      <c r="T26" s="3" t="str">
        <f t="shared" si="17"/>
        <v>Bingag</v>
      </c>
      <c r="U26" s="37"/>
      <c r="V26" s="37"/>
      <c r="W26" s="38"/>
      <c r="X26" s="37"/>
      <c r="Y26" s="37"/>
      <c r="Z26" s="37"/>
      <c r="AB26" s="3" t="str">
        <f t="shared" si="18"/>
        <v>Bingag</v>
      </c>
      <c r="AC26" s="37"/>
      <c r="AD26" s="179"/>
      <c r="AE26" s="178"/>
      <c r="AF26" s="37"/>
      <c r="AG26" s="179"/>
      <c r="AH26" s="179"/>
    </row>
    <row r="27" spans="1:53" x14ac:dyDescent="0.2">
      <c r="K27" s="166" t="s">
        <v>251</v>
      </c>
      <c r="L27" s="38">
        <v>1007</v>
      </c>
      <c r="M27" s="37"/>
      <c r="N27" s="38" t="s">
        <v>59</v>
      </c>
      <c r="O27" s="77"/>
      <c r="P27" s="37"/>
      <c r="Q27" s="37"/>
      <c r="R27" s="37"/>
      <c r="T27" s="3" t="str">
        <f t="shared" si="17"/>
        <v>Catarman</v>
      </c>
      <c r="U27" s="38">
        <v>3</v>
      </c>
      <c r="V27" s="37"/>
      <c r="W27" s="38"/>
      <c r="X27" s="37"/>
      <c r="Y27" s="37"/>
      <c r="Z27" s="37"/>
      <c r="AB27" s="3" t="str">
        <f t="shared" si="18"/>
        <v>Catarman</v>
      </c>
      <c r="AC27" s="38">
        <v>5</v>
      </c>
      <c r="AD27" s="179"/>
      <c r="AE27" s="178"/>
      <c r="AF27" s="179"/>
      <c r="AG27" s="179"/>
      <c r="AH27" s="179"/>
    </row>
    <row r="28" spans="1:53" x14ac:dyDescent="0.2">
      <c r="K28" s="166" t="s">
        <v>16</v>
      </c>
      <c r="L28" s="37"/>
      <c r="M28" s="38">
        <v>25</v>
      </c>
      <c r="N28" s="38" t="s">
        <v>59</v>
      </c>
      <c r="O28" s="77"/>
      <c r="P28" s="37"/>
      <c r="Q28" s="38">
        <v>527</v>
      </c>
      <c r="R28" s="37"/>
      <c r="T28" s="3" t="str">
        <f t="shared" si="17"/>
        <v>Dao</v>
      </c>
      <c r="U28" s="37"/>
      <c r="V28" s="38">
        <v>15</v>
      </c>
      <c r="W28" s="38"/>
      <c r="X28" s="37"/>
      <c r="Y28" s="38"/>
      <c r="Z28" s="37"/>
      <c r="AB28" s="3" t="str">
        <f t="shared" si="18"/>
        <v>Dao</v>
      </c>
      <c r="AC28" s="37"/>
      <c r="AD28" s="178"/>
      <c r="AE28" s="178"/>
      <c r="AF28" s="179"/>
      <c r="AG28" s="178"/>
      <c r="AH28" s="179"/>
    </row>
    <row r="29" spans="1:53" x14ac:dyDescent="0.2">
      <c r="K29" s="166" t="s">
        <v>252</v>
      </c>
      <c r="L29" s="169">
        <v>1476</v>
      </c>
      <c r="M29" s="37"/>
      <c r="N29" s="38" t="s">
        <v>59</v>
      </c>
      <c r="O29" s="77"/>
      <c r="P29" s="37"/>
      <c r="Q29" s="37"/>
      <c r="R29" s="37"/>
      <c r="T29" s="3" t="str">
        <f t="shared" si="17"/>
        <v>Mariveles</v>
      </c>
      <c r="U29" s="168">
        <v>5</v>
      </c>
      <c r="V29" s="37"/>
      <c r="W29" s="38"/>
      <c r="X29" s="37"/>
      <c r="Y29" s="37"/>
      <c r="Z29" s="37"/>
      <c r="AB29" s="3" t="str">
        <f t="shared" si="18"/>
        <v>Mariveles</v>
      </c>
      <c r="AC29" s="168">
        <v>5</v>
      </c>
      <c r="AD29" s="179"/>
      <c r="AE29" s="178"/>
      <c r="AF29" s="179"/>
      <c r="AG29" s="179"/>
      <c r="AH29" s="179"/>
    </row>
    <row r="30" spans="1:53" x14ac:dyDescent="0.2">
      <c r="K30" s="166" t="s">
        <v>253</v>
      </c>
      <c r="L30" s="208">
        <v>957</v>
      </c>
      <c r="M30" s="37"/>
      <c r="N30" s="38" t="s">
        <v>59</v>
      </c>
      <c r="O30" s="77"/>
      <c r="P30" s="37"/>
      <c r="Q30" s="37"/>
      <c r="R30" s="37"/>
      <c r="T30" s="3" t="str">
        <f t="shared" si="17"/>
        <v>Mayacabac</v>
      </c>
      <c r="U30" s="208"/>
      <c r="V30" s="37"/>
      <c r="W30" s="38"/>
      <c r="X30" s="37"/>
      <c r="Y30" s="37"/>
      <c r="Z30" s="37"/>
      <c r="AB30" s="3" t="str">
        <f t="shared" si="18"/>
        <v>Mayacabac</v>
      </c>
      <c r="AC30" s="208"/>
      <c r="AD30" s="179"/>
      <c r="AE30" s="178"/>
      <c r="AF30" s="179"/>
      <c r="AG30" s="179"/>
      <c r="AH30" s="179"/>
    </row>
    <row r="31" spans="1:53" x14ac:dyDescent="0.2">
      <c r="K31" s="166" t="s">
        <v>341</v>
      </c>
      <c r="L31" s="38">
        <f>341+277</f>
        <v>618</v>
      </c>
      <c r="M31" s="37"/>
      <c r="N31" s="38" t="s">
        <v>59</v>
      </c>
      <c r="O31" s="77"/>
      <c r="P31" s="37"/>
      <c r="Q31" s="37"/>
      <c r="R31" s="37"/>
      <c r="T31" s="3" t="str">
        <f t="shared" si="17"/>
        <v>Poblacion+Union</v>
      </c>
      <c r="U31" s="38">
        <f>2+4</f>
        <v>6</v>
      </c>
      <c r="V31" s="37"/>
      <c r="W31" s="38"/>
      <c r="X31" s="37"/>
      <c r="Y31" s="37"/>
      <c r="Z31" s="37"/>
      <c r="AB31" s="3" t="str">
        <f t="shared" si="18"/>
        <v>Poblacion+Union</v>
      </c>
      <c r="AC31" s="38">
        <f>7+8</f>
        <v>15</v>
      </c>
      <c r="AD31" s="179"/>
      <c r="AE31" s="178"/>
      <c r="AF31" s="179"/>
      <c r="AG31" s="179"/>
      <c r="AH31" s="179"/>
    </row>
    <row r="32" spans="1:53" x14ac:dyDescent="0.2">
      <c r="K32" s="166" t="s">
        <v>254</v>
      </c>
      <c r="L32" s="37"/>
      <c r="M32" s="38">
        <v>6</v>
      </c>
      <c r="N32" s="38" t="s">
        <v>59</v>
      </c>
      <c r="O32" s="77"/>
      <c r="P32" s="37"/>
      <c r="Q32" s="37"/>
      <c r="R32" s="38">
        <v>1000</v>
      </c>
      <c r="T32" s="3" t="str">
        <f t="shared" si="17"/>
        <v>San Isidro (Canlongon)</v>
      </c>
      <c r="U32" s="37"/>
      <c r="V32" s="38">
        <v>10</v>
      </c>
      <c r="W32" s="38"/>
      <c r="X32" s="37"/>
      <c r="Y32" s="37"/>
      <c r="Z32" s="38"/>
      <c r="AB32" s="3" t="str">
        <f t="shared" si="18"/>
        <v>San Isidro (Canlongon)</v>
      </c>
      <c r="AC32" s="37"/>
      <c r="AD32" s="178"/>
      <c r="AE32" s="178"/>
      <c r="AF32" s="179"/>
      <c r="AG32" s="179"/>
      <c r="AH32" s="178"/>
    </row>
    <row r="33" spans="1:34" x14ac:dyDescent="0.2">
      <c r="K33" s="166" t="s">
        <v>255</v>
      </c>
      <c r="L33" s="38">
        <v>760</v>
      </c>
      <c r="M33" s="37"/>
      <c r="N33" s="38" t="s">
        <v>59</v>
      </c>
      <c r="O33" s="77"/>
      <c r="P33" s="37"/>
      <c r="Q33" s="37"/>
      <c r="R33" s="37"/>
      <c r="T33" s="3" t="str">
        <f t="shared" si="17"/>
        <v>Songculan</v>
      </c>
      <c r="U33" s="38">
        <v>0</v>
      </c>
      <c r="V33" s="37"/>
      <c r="W33" s="38"/>
      <c r="X33" s="37"/>
      <c r="Y33" s="37"/>
      <c r="Z33" s="37"/>
      <c r="AB33" s="3" t="str">
        <f t="shared" si="18"/>
        <v>Songculan</v>
      </c>
      <c r="AC33" s="38">
        <v>2</v>
      </c>
      <c r="AD33" s="179"/>
      <c r="AE33" s="178"/>
      <c r="AF33" s="179"/>
      <c r="AG33" s="179"/>
      <c r="AH33" s="179"/>
    </row>
    <row r="34" spans="1:34" x14ac:dyDescent="0.2">
      <c r="K34" s="166" t="s">
        <v>256</v>
      </c>
      <c r="L34" s="37"/>
      <c r="M34" s="37"/>
      <c r="N34" s="38" t="s">
        <v>59</v>
      </c>
      <c r="O34" s="77"/>
      <c r="P34" s="37"/>
      <c r="Q34" s="37"/>
      <c r="R34" s="37"/>
      <c r="T34" s="3" t="str">
        <f t="shared" si="17"/>
        <v>Tabalong</v>
      </c>
      <c r="U34" s="37"/>
      <c r="V34" s="37"/>
      <c r="W34" s="38"/>
      <c r="X34" s="37"/>
      <c r="Y34" s="37"/>
      <c r="Z34" s="37"/>
      <c r="AB34" s="3" t="str">
        <f t="shared" si="18"/>
        <v>Tabalong</v>
      </c>
      <c r="AC34" s="37"/>
      <c r="AD34" s="179"/>
      <c r="AE34" s="178"/>
      <c r="AF34" s="179"/>
      <c r="AG34" s="179"/>
      <c r="AH34" s="179"/>
    </row>
    <row r="35" spans="1:34" x14ac:dyDescent="0.2">
      <c r="K35" s="166" t="s">
        <v>257</v>
      </c>
      <c r="L35" s="38">
        <v>1010</v>
      </c>
      <c r="M35" s="37"/>
      <c r="N35" s="38" t="s">
        <v>59</v>
      </c>
      <c r="O35" s="77"/>
      <c r="P35" s="37"/>
      <c r="Q35" s="37"/>
      <c r="R35" s="37"/>
      <c r="T35" s="3" t="str">
        <f t="shared" si="17"/>
        <v>Tinago</v>
      </c>
      <c r="U35" s="38">
        <v>3</v>
      </c>
      <c r="V35" s="37"/>
      <c r="W35" s="38"/>
      <c r="X35" s="37"/>
      <c r="Y35" s="37"/>
      <c r="Z35" s="37"/>
      <c r="AB35" s="3" t="str">
        <f t="shared" si="18"/>
        <v>Tinago</v>
      </c>
      <c r="AC35" s="38">
        <v>7</v>
      </c>
      <c r="AD35" s="179"/>
      <c r="AE35" s="178"/>
      <c r="AF35" s="179"/>
      <c r="AG35" s="179"/>
      <c r="AH35" s="179"/>
    </row>
    <row r="36" spans="1:34" x14ac:dyDescent="0.2">
      <c r="K36" s="166" t="s">
        <v>258</v>
      </c>
      <c r="L36" s="38">
        <v>513</v>
      </c>
      <c r="M36" s="37"/>
      <c r="N36" s="38" t="s">
        <v>59</v>
      </c>
      <c r="O36" s="77"/>
      <c r="P36" s="37"/>
      <c r="Q36" s="37"/>
      <c r="R36" s="37"/>
      <c r="T36" s="3" t="str">
        <f t="shared" si="17"/>
        <v>Totolan</v>
      </c>
      <c r="U36" s="38">
        <v>4</v>
      </c>
      <c r="V36" s="37"/>
      <c r="W36" s="38"/>
      <c r="X36" s="37"/>
      <c r="Y36" s="37"/>
      <c r="Z36" s="37"/>
      <c r="AB36" s="3" t="str">
        <f t="shared" si="18"/>
        <v>Totolan</v>
      </c>
      <c r="AC36" s="38">
        <v>5</v>
      </c>
      <c r="AD36" s="179"/>
      <c r="AE36" s="178"/>
      <c r="AF36" s="179"/>
      <c r="AG36" s="179"/>
      <c r="AH36" s="179"/>
    </row>
    <row r="37" spans="1:34" s="1" customFormat="1" x14ac:dyDescent="0.2">
      <c r="A37" s="78"/>
      <c r="B37" s="5"/>
      <c r="K37" s="35" t="s">
        <v>47</v>
      </c>
      <c r="L37" s="5">
        <f>SUM(L25:L36)</f>
        <v>6341</v>
      </c>
      <c r="M37" s="5">
        <f t="shared" ref="M37:R37" si="19">SUM(M25:M36)</f>
        <v>101</v>
      </c>
      <c r="N37" s="5" t="s">
        <v>59</v>
      </c>
      <c r="O37" s="75"/>
      <c r="P37" s="5">
        <f t="shared" si="19"/>
        <v>1000</v>
      </c>
      <c r="Q37" s="5">
        <f t="shared" si="19"/>
        <v>527</v>
      </c>
      <c r="R37" s="5">
        <f t="shared" si="19"/>
        <v>1000</v>
      </c>
      <c r="T37" s="35" t="s">
        <v>47</v>
      </c>
      <c r="U37" s="5">
        <f>SUM(U25:U36)</f>
        <v>21</v>
      </c>
      <c r="V37" s="5">
        <f t="shared" ref="V37:Z37" si="20">SUM(V25:V36)</f>
        <v>36</v>
      </c>
      <c r="W37" s="5">
        <f t="shared" si="20"/>
        <v>0</v>
      </c>
      <c r="X37" s="5">
        <f t="shared" si="20"/>
        <v>0</v>
      </c>
      <c r="Y37" s="5">
        <f t="shared" si="20"/>
        <v>0</v>
      </c>
      <c r="Z37" s="5">
        <f t="shared" si="20"/>
        <v>0</v>
      </c>
      <c r="AB37" s="35" t="s">
        <v>47</v>
      </c>
      <c r="AC37" s="5">
        <f>SUM(AC25:AC36)</f>
        <v>39</v>
      </c>
      <c r="AD37" s="5">
        <f t="shared" ref="AD37:AH37" si="21">SUM(AD25:AD36)</f>
        <v>0</v>
      </c>
      <c r="AE37" s="5">
        <f t="shared" si="21"/>
        <v>0</v>
      </c>
      <c r="AF37" s="5">
        <f t="shared" si="21"/>
        <v>0</v>
      </c>
      <c r="AG37" s="5">
        <f t="shared" si="21"/>
        <v>0</v>
      </c>
      <c r="AH37" s="5">
        <f t="shared" si="21"/>
        <v>0</v>
      </c>
    </row>
    <row r="40" spans="1:34" x14ac:dyDescent="0.2">
      <c r="L40" s="209" t="s">
        <v>343</v>
      </c>
      <c r="M40" s="209"/>
    </row>
    <row r="41" spans="1:34" x14ac:dyDescent="0.2">
      <c r="L41" s="210" t="s">
        <v>344</v>
      </c>
      <c r="M41" s="208"/>
    </row>
  </sheetData>
  <mergeCells count="9">
    <mergeCell ref="B3:B4"/>
    <mergeCell ref="C3:C4"/>
    <mergeCell ref="F3:F4"/>
    <mergeCell ref="AU3:BA3"/>
    <mergeCell ref="AG3:AM3"/>
    <mergeCell ref="AN3:AT3"/>
    <mergeCell ref="G3:N3"/>
    <mergeCell ref="P3:W3"/>
    <mergeCell ref="X3:AE3"/>
  </mergeCells>
  <pageMargins left="0.7" right="0.7" top="0.75" bottom="0.75" header="0.3" footer="0.3"/>
  <headerFooter>
    <oddFooter>&amp;C_x000D_&amp;1#&amp;"Calibri"&amp;8&amp;K000000 INTERNAL. This information is accessible to ADB Management and Staff. It may be shared outside ADB with appropriate permission.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A1E5-6563-3940-B56F-8B591A9B9626}">
  <dimension ref="B2:AN136"/>
  <sheetViews>
    <sheetView zoomScale="166" workbookViewId="0">
      <selection activeCell="Z18" sqref="Z18"/>
    </sheetView>
  </sheetViews>
  <sheetFormatPr baseColWidth="10" defaultRowHeight="16" x14ac:dyDescent="0.2"/>
  <cols>
    <col min="3" max="3" width="18" bestFit="1" customWidth="1"/>
    <col min="7" max="7" width="11.5" bestFit="1" customWidth="1"/>
    <col min="12" max="12" width="12.5" bestFit="1" customWidth="1"/>
    <col min="14" max="14" width="21" customWidth="1"/>
    <col min="17" max="17" width="15.1640625" customWidth="1"/>
    <col min="18" max="18" width="14.83203125" customWidth="1"/>
    <col min="21" max="21" width="19" customWidth="1"/>
    <col min="23" max="23" width="18" bestFit="1" customWidth="1"/>
    <col min="28" max="28" width="49.1640625" customWidth="1"/>
    <col min="29" max="29" width="27.1640625" customWidth="1"/>
    <col min="30" max="30" width="41.33203125" customWidth="1"/>
    <col min="31" max="31" width="18" bestFit="1" customWidth="1"/>
    <col min="35" max="35" width="11.5" bestFit="1" customWidth="1"/>
  </cols>
  <sheetData>
    <row r="2" spans="2:34" x14ac:dyDescent="0.2">
      <c r="B2" s="139" t="s">
        <v>104</v>
      </c>
      <c r="C2" s="139"/>
      <c r="D2" s="139"/>
      <c r="E2" s="139"/>
      <c r="F2" s="139"/>
      <c r="G2" s="140"/>
      <c r="H2" s="140"/>
      <c r="I2" s="140"/>
      <c r="M2" s="139" t="s">
        <v>183</v>
      </c>
      <c r="N2" s="139"/>
      <c r="O2" s="139"/>
      <c r="P2" s="139"/>
      <c r="Q2" s="139"/>
      <c r="R2" s="140"/>
      <c r="S2" s="140"/>
      <c r="T2" s="140"/>
      <c r="V2" s="139" t="s">
        <v>260</v>
      </c>
      <c r="W2" s="139"/>
      <c r="X2" s="139"/>
      <c r="Y2" s="139"/>
      <c r="Z2" s="139"/>
      <c r="AA2" s="140"/>
      <c r="AD2" s="139" t="s">
        <v>272</v>
      </c>
      <c r="AE2" s="139"/>
      <c r="AF2" s="139"/>
      <c r="AG2" s="139"/>
      <c r="AH2" s="139"/>
    </row>
    <row r="4" spans="2:34" x14ac:dyDescent="0.2">
      <c r="B4" s="5"/>
      <c r="C4" s="5" t="s">
        <v>106</v>
      </c>
      <c r="D4" s="5" t="s">
        <v>57</v>
      </c>
      <c r="E4" s="5" t="s">
        <v>58</v>
      </c>
      <c r="F4" s="5" t="s">
        <v>107</v>
      </c>
      <c r="M4" s="5"/>
      <c r="N4" s="5">
        <v>2024</v>
      </c>
      <c r="O4" s="5" t="s">
        <v>57</v>
      </c>
      <c r="P4" s="5" t="s">
        <v>58</v>
      </c>
      <c r="Q4" s="5" t="s">
        <v>107</v>
      </c>
      <c r="V4" s="5"/>
      <c r="W4" s="5">
        <v>2024</v>
      </c>
      <c r="X4" s="5" t="s">
        <v>57</v>
      </c>
      <c r="Y4" s="5" t="s">
        <v>58</v>
      </c>
      <c r="Z4" s="5" t="s">
        <v>107</v>
      </c>
    </row>
    <row r="5" spans="2:34" x14ac:dyDescent="0.2">
      <c r="B5" t="s">
        <v>53</v>
      </c>
      <c r="C5" s="29">
        <v>952194</v>
      </c>
      <c r="D5" s="26">
        <f>C5/E5/1000</f>
        <v>5.2607403314917125</v>
      </c>
      <c r="E5">
        <f>31+28+31+30+31+30</f>
        <v>181</v>
      </c>
      <c r="F5" t="s">
        <v>108</v>
      </c>
      <c r="G5" s="30"/>
      <c r="L5" t="s">
        <v>399</v>
      </c>
      <c r="M5" t="s">
        <v>53</v>
      </c>
      <c r="N5" s="29">
        <v>1393427</v>
      </c>
      <c r="O5" s="26">
        <f>N5/P5/1000</f>
        <v>3.8071775956284153</v>
      </c>
      <c r="P5">
        <v>366</v>
      </c>
      <c r="Q5" t="s">
        <v>108</v>
      </c>
      <c r="R5" s="30"/>
      <c r="V5" t="s">
        <v>53</v>
      </c>
      <c r="W5" s="29">
        <v>323566</v>
      </c>
      <c r="X5" s="26">
        <f>W5/Y5/1000</f>
        <v>0.88406010928961742</v>
      </c>
      <c r="Y5">
        <v>366</v>
      </c>
      <c r="Z5" t="s">
        <v>108</v>
      </c>
      <c r="AA5" s="30"/>
      <c r="AD5" t="s">
        <v>387</v>
      </c>
      <c r="AE5" s="5" t="s">
        <v>386</v>
      </c>
      <c r="AF5" s="5" t="s">
        <v>57</v>
      </c>
      <c r="AG5" s="5" t="s">
        <v>58</v>
      </c>
      <c r="AH5" s="5" t="s">
        <v>107</v>
      </c>
    </row>
    <row r="6" spans="2:34" x14ac:dyDescent="0.2">
      <c r="B6" t="s">
        <v>54</v>
      </c>
      <c r="C6" s="29">
        <v>1385950</v>
      </c>
      <c r="D6" s="26">
        <f>C6/E6/1000</f>
        <v>7.6571823204419891</v>
      </c>
      <c r="E6">
        <f>31+28+31+30+31+30</f>
        <v>181</v>
      </c>
      <c r="F6" t="s">
        <v>108</v>
      </c>
      <c r="L6" t="s">
        <v>398</v>
      </c>
      <c r="M6" t="s">
        <v>54</v>
      </c>
      <c r="N6" s="162">
        <f>6645.83*P6</f>
        <v>2432373.7799999998</v>
      </c>
      <c r="O6" s="26">
        <f>N6/P6/1000</f>
        <v>6.6458299999999992</v>
      </c>
      <c r="P6">
        <v>366</v>
      </c>
      <c r="Q6" t="s">
        <v>238</v>
      </c>
      <c r="V6" t="s">
        <v>54</v>
      </c>
      <c r="W6" s="162">
        <f>1023.89*Y6</f>
        <v>374743.74</v>
      </c>
      <c r="X6" s="26">
        <f>W6/Y6/1000</f>
        <v>1.02389</v>
      </c>
      <c r="Y6">
        <v>366</v>
      </c>
      <c r="Z6" t="s">
        <v>400</v>
      </c>
      <c r="AD6" t="s">
        <v>53</v>
      </c>
      <c r="AE6" s="29">
        <f>'dauis data'!F102</f>
        <v>62240</v>
      </c>
      <c r="AF6" s="26">
        <f>AE6/1000/31</f>
        <v>2.007741935483871</v>
      </c>
      <c r="AG6">
        <v>31</v>
      </c>
      <c r="AH6" t="s">
        <v>108</v>
      </c>
    </row>
    <row r="7" spans="2:34" x14ac:dyDescent="0.2">
      <c r="B7" t="s">
        <v>105</v>
      </c>
      <c r="D7" s="28">
        <f>(D6-D5)/D6</f>
        <v>0.31296655723510952</v>
      </c>
      <c r="F7" t="s">
        <v>109</v>
      </c>
      <c r="M7" t="s">
        <v>105</v>
      </c>
      <c r="O7" s="28">
        <f>(O6-O5)/O6</f>
        <v>0.4271328644234933</v>
      </c>
      <c r="Q7" t="s">
        <v>109</v>
      </c>
      <c r="V7" t="s">
        <v>105</v>
      </c>
      <c r="X7" s="28">
        <f>(X6-X5)/X6</f>
        <v>0.13656729796206873</v>
      </c>
      <c r="Z7" t="s">
        <v>109</v>
      </c>
      <c r="AD7" t="s">
        <v>403</v>
      </c>
      <c r="AE7" s="235">
        <v>2062.54</v>
      </c>
      <c r="AF7" s="26">
        <f>AE7/1000</f>
        <v>2.0625399999999998</v>
      </c>
      <c r="AG7">
        <v>31</v>
      </c>
      <c r="AH7" t="s">
        <v>388</v>
      </c>
    </row>
    <row r="8" spans="2:34" x14ac:dyDescent="0.2">
      <c r="B8" t="s">
        <v>151</v>
      </c>
      <c r="C8">
        <v>6084</v>
      </c>
      <c r="D8" s="28"/>
      <c r="M8" t="s">
        <v>151</v>
      </c>
      <c r="N8">
        <v>7781</v>
      </c>
      <c r="O8" s="28" t="s">
        <v>184</v>
      </c>
      <c r="V8" t="s">
        <v>151</v>
      </c>
      <c r="W8">
        <v>2310</v>
      </c>
      <c r="X8" s="28" t="s">
        <v>389</v>
      </c>
      <c r="AD8" t="s">
        <v>401</v>
      </c>
      <c r="AF8" s="26">
        <v>2.5</v>
      </c>
      <c r="AH8" t="s">
        <v>402</v>
      </c>
    </row>
    <row r="9" spans="2:34" x14ac:dyDescent="0.2">
      <c r="B9" t="s">
        <v>152</v>
      </c>
      <c r="D9" s="26">
        <f>C5/6/C8</f>
        <v>26.084648257725181</v>
      </c>
      <c r="E9" t="s">
        <v>153</v>
      </c>
      <c r="M9" t="s">
        <v>152</v>
      </c>
      <c r="O9" s="26">
        <f>N5/12/N8</f>
        <v>14.923392451698582</v>
      </c>
      <c r="P9" t="s">
        <v>153</v>
      </c>
      <c r="V9" t="s">
        <v>152</v>
      </c>
      <c r="X9" s="26">
        <f>W5/12/W8</f>
        <v>11.672655122655122</v>
      </c>
      <c r="Y9" t="s">
        <v>153</v>
      </c>
      <c r="AD9" t="s">
        <v>105</v>
      </c>
      <c r="AF9" s="158">
        <f>(AF7+AF8-AF6)/(AF7+AF8)</f>
        <v>0.55995083100994825</v>
      </c>
      <c r="AH9" t="s">
        <v>109</v>
      </c>
    </row>
    <row r="10" spans="2:34" x14ac:dyDescent="0.2">
      <c r="D10" s="27"/>
      <c r="AD10" t="s">
        <v>151</v>
      </c>
      <c r="AE10" s="30">
        <f>'dauis data'!F81</f>
        <v>3958</v>
      </c>
      <c r="AF10" s="28"/>
    </row>
    <row r="11" spans="2:34" x14ac:dyDescent="0.2">
      <c r="B11" s="5"/>
      <c r="C11" s="5">
        <v>2024</v>
      </c>
      <c r="D11" s="5" t="s">
        <v>57</v>
      </c>
      <c r="E11" s="5" t="s">
        <v>107</v>
      </c>
      <c r="F11" s="5"/>
      <c r="M11" s="5"/>
      <c r="N11" s="5" t="s">
        <v>106</v>
      </c>
      <c r="O11" s="5" t="s">
        <v>57</v>
      </c>
      <c r="P11" s="5" t="s">
        <v>58</v>
      </c>
      <c r="Q11" s="5" t="s">
        <v>107</v>
      </c>
      <c r="V11" s="5"/>
      <c r="W11" s="5" t="s">
        <v>273</v>
      </c>
      <c r="X11" s="5" t="s">
        <v>57</v>
      </c>
      <c r="Y11" s="5" t="s">
        <v>58</v>
      </c>
      <c r="Z11" s="5" t="s">
        <v>107</v>
      </c>
      <c r="AD11" t="s">
        <v>152</v>
      </c>
      <c r="AF11" s="26">
        <f>AE6/AE10</f>
        <v>15.72511369378474</v>
      </c>
      <c r="AG11" t="s">
        <v>153</v>
      </c>
    </row>
    <row r="12" spans="2:34" x14ac:dyDescent="0.2">
      <c r="B12" t="s">
        <v>53</v>
      </c>
      <c r="C12" s="29">
        <v>1883134</v>
      </c>
      <c r="D12" s="26">
        <f>C12/366/1000</f>
        <v>5.1451748633879779</v>
      </c>
      <c r="E12" t="s">
        <v>108</v>
      </c>
      <c r="G12" s="31"/>
      <c r="L12" t="s">
        <v>399</v>
      </c>
      <c r="M12" t="s">
        <v>53</v>
      </c>
      <c r="N12" s="29">
        <f>SUM(N29:O29)</f>
        <v>757963</v>
      </c>
      <c r="O12" s="26">
        <f>N12/P12/1000</f>
        <v>4.1876408839779007</v>
      </c>
      <c r="P12">
        <f>31+28+31+30+31+30</f>
        <v>181</v>
      </c>
      <c r="Q12" t="s">
        <v>108</v>
      </c>
      <c r="R12" s="30"/>
      <c r="V12" t="s">
        <v>53</v>
      </c>
      <c r="W12" s="29">
        <v>215234</v>
      </c>
      <c r="X12" s="26">
        <f>W12/Y12/1000</f>
        <v>0.88573662551440324</v>
      </c>
      <c r="Y12">
        <f>31+28+31+30+31+30+31+31</f>
        <v>243</v>
      </c>
      <c r="Z12" t="s">
        <v>108</v>
      </c>
      <c r="AA12" s="30"/>
    </row>
    <row r="13" spans="2:34" ht="34" x14ac:dyDescent="0.2">
      <c r="B13" t="s">
        <v>54</v>
      </c>
      <c r="C13" s="29">
        <v>3049028</v>
      </c>
      <c r="D13" s="26">
        <f>C13/366/1000</f>
        <v>8.3306775956284138</v>
      </c>
      <c r="E13" t="s">
        <v>108</v>
      </c>
      <c r="L13" t="s">
        <v>398</v>
      </c>
      <c r="M13" t="s">
        <v>54</v>
      </c>
      <c r="N13" s="162">
        <f>6645.83*P13</f>
        <v>1202895.23</v>
      </c>
      <c r="O13" s="26">
        <f>N13/P13/1000</f>
        <v>6.6458300000000001</v>
      </c>
      <c r="P13">
        <f>31+28+31+30+31+30</f>
        <v>181</v>
      </c>
      <c r="Q13" t="s">
        <v>238</v>
      </c>
      <c r="V13" t="s">
        <v>54</v>
      </c>
      <c r="W13" s="162">
        <f>1023.89*Y13</f>
        <v>248805.27</v>
      </c>
      <c r="X13" s="26">
        <f>W13/Y13/1000</f>
        <v>1.02389</v>
      </c>
      <c r="Y13">
        <f>31+28+31+30+31+30+31+31</f>
        <v>243</v>
      </c>
      <c r="Z13" t="s">
        <v>400</v>
      </c>
      <c r="AD13" s="218" t="s">
        <v>390</v>
      </c>
      <c r="AE13" s="5" t="s">
        <v>386</v>
      </c>
      <c r="AF13" s="5" t="s">
        <v>57</v>
      </c>
      <c r="AG13" s="5" t="s">
        <v>58</v>
      </c>
      <c r="AH13" s="5" t="s">
        <v>107</v>
      </c>
    </row>
    <row r="14" spans="2:34" x14ac:dyDescent="0.2">
      <c r="D14" s="28">
        <f>(D13-D12)/D13</f>
        <v>0.38238218868439378</v>
      </c>
      <c r="E14" t="s">
        <v>109</v>
      </c>
      <c r="M14" t="s">
        <v>105</v>
      </c>
      <c r="O14" s="158">
        <f>(O13-O12)/O13</f>
        <v>0.36988444122436165</v>
      </c>
      <c r="Q14" t="s">
        <v>109</v>
      </c>
      <c r="V14" t="s">
        <v>105</v>
      </c>
      <c r="X14" s="158">
        <f>(X13-X12)/X13</f>
        <v>0.13492989919385553</v>
      </c>
      <c r="Z14" t="s">
        <v>109</v>
      </c>
      <c r="AD14" t="s">
        <v>391</v>
      </c>
      <c r="AE14" s="29">
        <f>'dauis data'!F108</f>
        <v>93598</v>
      </c>
      <c r="AF14" s="26">
        <f>AE14/1000/31</f>
        <v>3.0192903225806451</v>
      </c>
      <c r="AG14">
        <v>31</v>
      </c>
      <c r="AH14" t="s">
        <v>108</v>
      </c>
    </row>
    <row r="15" spans="2:34" x14ac:dyDescent="0.2">
      <c r="B15" t="s">
        <v>151</v>
      </c>
      <c r="C15">
        <v>6461</v>
      </c>
      <c r="D15" s="28"/>
      <c r="M15" t="s">
        <v>151</v>
      </c>
      <c r="N15" s="30">
        <f>SUM(Q29:R29)</f>
        <v>8016</v>
      </c>
      <c r="O15" s="28"/>
      <c r="V15" t="s">
        <v>151</v>
      </c>
      <c r="W15" s="30">
        <v>2366</v>
      </c>
      <c r="X15" s="28" t="s">
        <v>277</v>
      </c>
      <c r="AD15" t="s">
        <v>403</v>
      </c>
      <c r="AE15" s="235">
        <f>AE7</f>
        <v>2062.54</v>
      </c>
      <c r="AF15" s="26">
        <f>AE15/1000</f>
        <v>2.0625399999999998</v>
      </c>
      <c r="AG15">
        <v>31</v>
      </c>
      <c r="AH15" t="s">
        <v>388</v>
      </c>
    </row>
    <row r="16" spans="2:34" x14ac:dyDescent="0.2">
      <c r="B16" t="s">
        <v>152</v>
      </c>
      <c r="D16" s="26">
        <f>C12/12/C15</f>
        <v>24.288474436361764</v>
      </c>
      <c r="E16" t="s">
        <v>153</v>
      </c>
      <c r="M16" t="s">
        <v>152</v>
      </c>
      <c r="O16" s="26">
        <f>N12/6/N15</f>
        <v>15.759377079174984</v>
      </c>
      <c r="P16" t="s">
        <v>153</v>
      </c>
      <c r="V16" t="s">
        <v>152</v>
      </c>
      <c r="X16" s="26">
        <f>W12/8/W15</f>
        <v>11.371196111580726</v>
      </c>
      <c r="Y16" t="s">
        <v>153</v>
      </c>
      <c r="AD16" t="s">
        <v>401</v>
      </c>
      <c r="AF16" s="26">
        <v>2.5</v>
      </c>
      <c r="AH16" t="s">
        <v>402</v>
      </c>
    </row>
    <row r="17" spans="2:39" x14ac:dyDescent="0.2">
      <c r="D17" s="28"/>
      <c r="AD17" t="s">
        <v>105</v>
      </c>
      <c r="AF17" s="158">
        <f>(AF15+AF16-AF14)/(AF15+AF16)</f>
        <v>0.33824353921704908</v>
      </c>
      <c r="AH17" t="s">
        <v>109</v>
      </c>
    </row>
    <row r="18" spans="2:39" x14ac:dyDescent="0.2">
      <c r="B18" s="5"/>
      <c r="C18" s="5">
        <v>2023</v>
      </c>
      <c r="D18" s="5" t="s">
        <v>57</v>
      </c>
      <c r="E18" s="5" t="s">
        <v>107</v>
      </c>
      <c r="F18" s="5"/>
      <c r="M18" s="2"/>
      <c r="N18" s="2" t="s">
        <v>186</v>
      </c>
      <c r="O18" s="2" t="s">
        <v>187</v>
      </c>
      <c r="P18" s="2"/>
      <c r="Q18" s="2" t="s">
        <v>188</v>
      </c>
      <c r="R18" s="2" t="s">
        <v>189</v>
      </c>
      <c r="AD18" t="s">
        <v>151</v>
      </c>
      <c r="AE18" s="30">
        <f>'dauis data'!F84</f>
        <v>6401.4573519323121</v>
      </c>
      <c r="AF18" s="28"/>
    </row>
    <row r="19" spans="2:39" x14ac:dyDescent="0.2">
      <c r="B19" t="s">
        <v>53</v>
      </c>
      <c r="C19" s="29">
        <v>1897357</v>
      </c>
      <c r="D19" s="26">
        <f>C19/365/1000</f>
        <v>5.1982383561643841</v>
      </c>
      <c r="E19" t="s">
        <v>108</v>
      </c>
      <c r="G19" s="31"/>
      <c r="M19" t="s">
        <v>190</v>
      </c>
      <c r="N19" s="29">
        <v>119153</v>
      </c>
      <c r="O19" s="29">
        <v>12264</v>
      </c>
      <c r="Q19">
        <v>1072</v>
      </c>
      <c r="R19">
        <v>40</v>
      </c>
      <c r="V19" s="141" t="s">
        <v>280</v>
      </c>
      <c r="W19" s="141"/>
      <c r="X19" s="141"/>
      <c r="Y19" s="141"/>
      <c r="Z19" s="141"/>
      <c r="AA19" s="142"/>
      <c r="AB19" s="142"/>
      <c r="AC19" s="142"/>
      <c r="AD19" t="s">
        <v>152</v>
      </c>
      <c r="AF19" s="26">
        <f>AE14/AE18</f>
        <v>14.621358052435822</v>
      </c>
      <c r="AG19" t="s">
        <v>153</v>
      </c>
    </row>
    <row r="20" spans="2:39" x14ac:dyDescent="0.2">
      <c r="B20" t="s">
        <v>54</v>
      </c>
      <c r="C20" s="29">
        <v>3535036</v>
      </c>
      <c r="D20" s="26">
        <f>C20/365/1000</f>
        <v>9.6850301369863008</v>
      </c>
      <c r="E20" t="s">
        <v>108</v>
      </c>
      <c r="M20" t="s">
        <v>191</v>
      </c>
      <c r="N20" s="29">
        <v>48277</v>
      </c>
      <c r="O20" s="29">
        <v>2216</v>
      </c>
      <c r="Q20">
        <v>462</v>
      </c>
      <c r="R20">
        <v>15</v>
      </c>
      <c r="V20" t="s">
        <v>281</v>
      </c>
      <c r="AE20" s="2"/>
      <c r="AF20" s="2"/>
      <c r="AG20" s="231"/>
    </row>
    <row r="21" spans="2:39" x14ac:dyDescent="0.2">
      <c r="D21" s="28">
        <f>(D20-D19)/D20</f>
        <v>0.46327081251789221</v>
      </c>
      <c r="E21" t="s">
        <v>109</v>
      </c>
      <c r="M21" t="s">
        <v>192</v>
      </c>
      <c r="N21" s="29">
        <v>28460</v>
      </c>
      <c r="O21" s="29">
        <v>1970</v>
      </c>
      <c r="Q21">
        <v>376</v>
      </c>
      <c r="R21">
        <v>28</v>
      </c>
      <c r="V21" t="s">
        <v>282</v>
      </c>
      <c r="W21">
        <v>20</v>
      </c>
      <c r="X21" t="s">
        <v>283</v>
      </c>
      <c r="AE21" s="2"/>
      <c r="AF21" s="231"/>
      <c r="AG21" s="231"/>
    </row>
    <row r="22" spans="2:39" x14ac:dyDescent="0.2">
      <c r="M22" t="s">
        <v>193</v>
      </c>
      <c r="N22" s="29">
        <v>54480</v>
      </c>
      <c r="O22" s="29">
        <v>5178</v>
      </c>
      <c r="Q22">
        <v>740</v>
      </c>
      <c r="R22">
        <v>45</v>
      </c>
      <c r="V22" t="s">
        <v>284</v>
      </c>
      <c r="W22">
        <v>15000</v>
      </c>
      <c r="X22" t="s">
        <v>285</v>
      </c>
      <c r="AE22" s="2"/>
      <c r="AF22" s="2"/>
      <c r="AG22" s="2"/>
    </row>
    <row r="23" spans="2:39" x14ac:dyDescent="0.2">
      <c r="M23" t="s">
        <v>194</v>
      </c>
      <c r="N23" s="29">
        <v>98889</v>
      </c>
      <c r="O23" s="29">
        <v>12945</v>
      </c>
      <c r="Q23">
        <v>1386</v>
      </c>
      <c r="R23">
        <v>138</v>
      </c>
      <c r="V23" t="s">
        <v>286</v>
      </c>
      <c r="W23">
        <f>W22/W21</f>
        <v>750</v>
      </c>
      <c r="AE23" s="2"/>
      <c r="AF23" s="2"/>
      <c r="AG23" s="2"/>
    </row>
    <row r="24" spans="2:39" x14ac:dyDescent="0.2">
      <c r="B24" s="141" t="s">
        <v>3</v>
      </c>
      <c r="C24" s="141"/>
      <c r="D24" s="141"/>
      <c r="E24" s="141"/>
      <c r="F24" s="141"/>
      <c r="G24" s="142"/>
      <c r="H24" s="142"/>
      <c r="I24" s="142"/>
      <c r="M24" t="s">
        <v>195</v>
      </c>
      <c r="N24" s="29">
        <v>108060</v>
      </c>
      <c r="O24" s="29">
        <v>32456</v>
      </c>
      <c r="Q24">
        <v>836</v>
      </c>
      <c r="R24">
        <v>127</v>
      </c>
      <c r="AE24" s="2"/>
      <c r="AF24" s="2"/>
      <c r="AG24" s="2"/>
    </row>
    <row r="25" spans="2:39" x14ac:dyDescent="0.2">
      <c r="B25" s="1" t="s">
        <v>138</v>
      </c>
      <c r="C25" s="1"/>
      <c r="M25" t="s">
        <v>196</v>
      </c>
      <c r="N25" s="29">
        <v>57617</v>
      </c>
      <c r="O25" s="29">
        <v>8277</v>
      </c>
      <c r="Q25">
        <v>571</v>
      </c>
      <c r="R25">
        <v>45</v>
      </c>
      <c r="V25" s="5"/>
      <c r="W25" s="5"/>
      <c r="X25" s="5" t="s">
        <v>57</v>
      </c>
      <c r="Y25" s="5" t="s">
        <v>58</v>
      </c>
      <c r="Z25" s="5" t="s">
        <v>107</v>
      </c>
      <c r="AE25" s="2"/>
      <c r="AF25" s="2"/>
      <c r="AG25" s="2"/>
    </row>
    <row r="26" spans="2:39" x14ac:dyDescent="0.2">
      <c r="B26" s="5"/>
      <c r="C26" s="5" t="s">
        <v>139</v>
      </c>
      <c r="D26" s="5" t="s">
        <v>57</v>
      </c>
      <c r="E26" s="5" t="s">
        <v>58</v>
      </c>
      <c r="F26" s="5" t="s">
        <v>107</v>
      </c>
      <c r="M26" t="s">
        <v>197</v>
      </c>
      <c r="N26" s="29">
        <v>60540</v>
      </c>
      <c r="O26" s="29">
        <v>4826</v>
      </c>
      <c r="Q26">
        <v>531</v>
      </c>
      <c r="R26">
        <v>32</v>
      </c>
      <c r="V26" t="s">
        <v>53</v>
      </c>
      <c r="W26" s="29">
        <f>W23</f>
        <v>750</v>
      </c>
      <c r="X26" s="174">
        <f>W26/Y26/1000</f>
        <v>2.4671052631578948E-2</v>
      </c>
      <c r="Y26">
        <v>30.4</v>
      </c>
      <c r="Z26" t="s">
        <v>108</v>
      </c>
      <c r="AE26" s="2"/>
      <c r="AF26" s="2"/>
      <c r="AG26" s="2"/>
    </row>
    <row r="27" spans="2:39" x14ac:dyDescent="0.2">
      <c r="B27" t="s">
        <v>53</v>
      </c>
      <c r="C27" s="29">
        <v>3875844</v>
      </c>
      <c r="D27" s="26">
        <f>C27/E27/1000</f>
        <v>18.282283018867926</v>
      </c>
      <c r="E27">
        <v>212</v>
      </c>
      <c r="F27" t="s">
        <v>140</v>
      </c>
      <c r="M27" t="s">
        <v>198</v>
      </c>
      <c r="N27" s="29">
        <v>33016</v>
      </c>
      <c r="O27" s="29">
        <v>3997</v>
      </c>
      <c r="Q27">
        <v>621</v>
      </c>
      <c r="R27">
        <v>125</v>
      </c>
      <c r="V27" t="s">
        <v>151</v>
      </c>
      <c r="W27">
        <v>280</v>
      </c>
      <c r="X27" s="28"/>
      <c r="Z27" t="s">
        <v>287</v>
      </c>
      <c r="AE27" s="2"/>
      <c r="AF27" s="2"/>
      <c r="AG27" s="2"/>
    </row>
    <row r="28" spans="2:39" x14ac:dyDescent="0.2">
      <c r="B28" t="s">
        <v>54</v>
      </c>
      <c r="C28" s="29">
        <v>4317599</v>
      </c>
      <c r="D28" s="26">
        <f>C28/E28/1000</f>
        <v>20.366033018867924</v>
      </c>
      <c r="E28">
        <v>212</v>
      </c>
      <c r="F28" t="s">
        <v>140</v>
      </c>
      <c r="M28" t="s">
        <v>199</v>
      </c>
      <c r="N28" s="29">
        <v>61247</v>
      </c>
      <c r="O28" s="29">
        <v>4095</v>
      </c>
      <c r="Q28">
        <v>775</v>
      </c>
      <c r="R28">
        <v>51</v>
      </c>
      <c r="V28" t="s">
        <v>152</v>
      </c>
      <c r="X28" s="26">
        <f>W26/W27</f>
        <v>2.6785714285714284</v>
      </c>
      <c r="Y28" t="s">
        <v>153</v>
      </c>
      <c r="AE28" s="2"/>
      <c r="AF28" s="2"/>
      <c r="AG28" s="2"/>
    </row>
    <row r="29" spans="2:39" x14ac:dyDescent="0.2">
      <c r="B29" t="s">
        <v>105</v>
      </c>
      <c r="D29" s="28">
        <f>(D28-D27)/D28</f>
        <v>0.10231496718430769</v>
      </c>
      <c r="F29" t="s">
        <v>141</v>
      </c>
      <c r="N29" s="155">
        <f>SUM(N19:N28)</f>
        <v>669739</v>
      </c>
      <c r="O29" s="155">
        <f>SUM(O19:O28)</f>
        <v>88224</v>
      </c>
      <c r="Q29" s="155">
        <f>SUM(Q19:Q28)</f>
        <v>7370</v>
      </c>
      <c r="R29" s="155">
        <f>SUM(R19:R28)</f>
        <v>646</v>
      </c>
      <c r="AD29" s="1"/>
      <c r="AE29" s="5"/>
      <c r="AF29" s="5"/>
      <c r="AG29" s="5"/>
    </row>
    <row r="30" spans="2:39" x14ac:dyDescent="0.2">
      <c r="D30" s="27"/>
      <c r="V30" s="141" t="s">
        <v>291</v>
      </c>
      <c r="W30" s="141"/>
      <c r="X30" s="141"/>
      <c r="Y30" s="141"/>
      <c r="Z30" s="141"/>
      <c r="AA30" s="142"/>
      <c r="AB30" s="142"/>
      <c r="AC30" s="142"/>
    </row>
    <row r="31" spans="2:39" x14ac:dyDescent="0.2">
      <c r="B31" s="5"/>
      <c r="C31" s="5">
        <v>2024</v>
      </c>
      <c r="D31" s="5" t="s">
        <v>57</v>
      </c>
      <c r="E31" s="5" t="s">
        <v>107</v>
      </c>
      <c r="F31" s="5"/>
      <c r="V31" t="s">
        <v>281</v>
      </c>
    </row>
    <row r="32" spans="2:39" x14ac:dyDescent="0.2">
      <c r="B32" t="s">
        <v>53</v>
      </c>
      <c r="C32" s="29">
        <v>6541668</v>
      </c>
      <c r="D32" s="26">
        <f t="shared" ref="D32:D33" si="0">C32/E32/1000</f>
        <v>17.873409836065573</v>
      </c>
      <c r="E32">
        <v>366</v>
      </c>
      <c r="F32" t="s">
        <v>140</v>
      </c>
      <c r="M32" s="141" t="s">
        <v>86</v>
      </c>
      <c r="N32" s="141"/>
      <c r="O32" s="141"/>
      <c r="P32" s="141"/>
      <c r="Q32" s="141"/>
      <c r="R32" s="142"/>
      <c r="S32" s="142"/>
      <c r="T32" s="142"/>
      <c r="V32" t="s">
        <v>282</v>
      </c>
      <c r="W32">
        <v>10</v>
      </c>
      <c r="X32" t="s">
        <v>283</v>
      </c>
      <c r="AL32" s="5"/>
      <c r="AM32" s="5"/>
    </row>
    <row r="33" spans="2:40" x14ac:dyDescent="0.2">
      <c r="B33" t="s">
        <v>54</v>
      </c>
      <c r="C33" s="29">
        <v>7442969</v>
      </c>
      <c r="D33" s="26">
        <f t="shared" si="0"/>
        <v>20.335980874316942</v>
      </c>
      <c r="E33">
        <v>366</v>
      </c>
      <c r="F33" t="s">
        <v>140</v>
      </c>
      <c r="M33" s="175" t="s">
        <v>47</v>
      </c>
      <c r="N33" s="175"/>
      <c r="O33" s="175"/>
      <c r="P33" s="175"/>
      <c r="Q33" s="175"/>
      <c r="R33" s="176"/>
      <c r="S33" s="176"/>
      <c r="T33" s="176"/>
      <c r="V33" t="s">
        <v>284</v>
      </c>
      <c r="W33">
        <v>23000</v>
      </c>
      <c r="X33" t="s">
        <v>285</v>
      </c>
      <c r="AK33" s="5"/>
      <c r="AL33" s="232"/>
      <c r="AM33" s="232"/>
      <c r="AN33" s="171"/>
    </row>
    <row r="34" spans="2:40" x14ac:dyDescent="0.2">
      <c r="D34" s="28">
        <f>(D33-D32)/D33</f>
        <v>0.12109428374617721</v>
      </c>
      <c r="F34" t="s">
        <v>141</v>
      </c>
      <c r="M34" s="5"/>
      <c r="N34" s="5" t="s">
        <v>106</v>
      </c>
      <c r="O34" s="5" t="s">
        <v>57</v>
      </c>
      <c r="P34" s="5" t="s">
        <v>58</v>
      </c>
      <c r="Q34" s="5" t="s">
        <v>107</v>
      </c>
      <c r="V34" t="s">
        <v>292</v>
      </c>
      <c r="W34">
        <f>50*W39</f>
        <v>6700</v>
      </c>
      <c r="AD34" s="5"/>
      <c r="AE34" s="5"/>
      <c r="AF34" s="5"/>
      <c r="AG34" s="5"/>
      <c r="AH34" s="5"/>
      <c r="AK34" s="232"/>
      <c r="AL34" s="2"/>
      <c r="AM34" s="2"/>
      <c r="AN34" s="171"/>
    </row>
    <row r="35" spans="2:40" x14ac:dyDescent="0.2">
      <c r="D35" s="28"/>
      <c r="M35" t="s">
        <v>53</v>
      </c>
      <c r="N35" s="29">
        <v>320592</v>
      </c>
      <c r="O35" s="26">
        <f>N35/P35/1000</f>
        <v>1.7712265193370165</v>
      </c>
      <c r="P35">
        <f>31+28+31+30+31+30</f>
        <v>181</v>
      </c>
      <c r="Q35" t="s">
        <v>108</v>
      </c>
      <c r="V35" t="s">
        <v>293</v>
      </c>
      <c r="W35">
        <f>W33-W34</f>
        <v>16300</v>
      </c>
      <c r="AE35" s="231"/>
      <c r="AF35" s="231"/>
      <c r="AG35" s="231"/>
      <c r="AH35" s="231"/>
      <c r="AK35" s="2"/>
      <c r="AL35" s="232"/>
      <c r="AM35" s="232"/>
      <c r="AN35" s="171"/>
    </row>
    <row r="36" spans="2:40" x14ac:dyDescent="0.2">
      <c r="B36" s="1" t="s">
        <v>142</v>
      </c>
      <c r="C36" s="5"/>
      <c r="D36" s="5"/>
      <c r="E36" s="5"/>
      <c r="F36" s="5"/>
      <c r="G36" s="1"/>
      <c r="M36" t="s">
        <v>54</v>
      </c>
      <c r="N36" s="29">
        <v>378091</v>
      </c>
      <c r="O36" s="26">
        <f>N36/P36/1000</f>
        <v>2.0889005524861877</v>
      </c>
      <c r="P36">
        <f>31+28+31+30+31+30</f>
        <v>181</v>
      </c>
      <c r="Q36" t="s">
        <v>108</v>
      </c>
      <c r="V36" t="s">
        <v>286</v>
      </c>
      <c r="W36">
        <f>W35/W32</f>
        <v>1630</v>
      </c>
      <c r="AE36" s="2"/>
      <c r="AF36" s="2"/>
      <c r="AG36" s="2"/>
      <c r="AH36" s="2"/>
      <c r="AK36" s="232"/>
      <c r="AL36" s="2"/>
      <c r="AM36" s="2"/>
      <c r="AN36" s="171"/>
    </row>
    <row r="37" spans="2:40" x14ac:dyDescent="0.2">
      <c r="B37" s="5"/>
      <c r="C37" s="5" t="s">
        <v>139</v>
      </c>
      <c r="D37" s="5" t="s">
        <v>57</v>
      </c>
      <c r="E37" s="5" t="s">
        <v>58</v>
      </c>
      <c r="F37" s="5" t="s">
        <v>107</v>
      </c>
      <c r="M37" t="s">
        <v>105</v>
      </c>
      <c r="O37" s="158">
        <f>(O36-O35)/O36</f>
        <v>0.15207714544911144</v>
      </c>
      <c r="Q37" t="s">
        <v>109</v>
      </c>
      <c r="V37" s="5"/>
      <c r="W37" s="5"/>
      <c r="X37" s="5" t="s">
        <v>57</v>
      </c>
      <c r="Y37" s="5" t="s">
        <v>58</v>
      </c>
      <c r="Z37" s="5" t="s">
        <v>107</v>
      </c>
      <c r="AE37" s="2"/>
      <c r="AF37" s="2"/>
      <c r="AG37" s="2"/>
      <c r="AH37" s="2"/>
      <c r="AK37" s="2"/>
      <c r="AL37" s="232"/>
      <c r="AM37" s="232"/>
      <c r="AN37" s="171"/>
    </row>
    <row r="38" spans="2:40" x14ac:dyDescent="0.2">
      <c r="B38" s="146" t="s">
        <v>53</v>
      </c>
      <c r="C38" s="147">
        <v>3298398</v>
      </c>
      <c r="D38" s="148">
        <f>C38/E38/1000</f>
        <v>15.558481132075473</v>
      </c>
      <c r="E38" s="146">
        <v>212</v>
      </c>
      <c r="F38" s="146" t="s">
        <v>140</v>
      </c>
      <c r="G38" s="146"/>
      <c r="M38" t="s">
        <v>151</v>
      </c>
      <c r="N38" s="30">
        <f>AD100</f>
        <v>451</v>
      </c>
      <c r="O38" s="28"/>
      <c r="V38" t="s">
        <v>53</v>
      </c>
      <c r="W38" s="29">
        <f>W36</f>
        <v>1630</v>
      </c>
      <c r="X38" s="174">
        <f>W38/Y38/1000</f>
        <v>5.3618421052631579E-2</v>
      </c>
      <c r="Y38">
        <v>30.4</v>
      </c>
      <c r="Z38" t="s">
        <v>108</v>
      </c>
      <c r="AE38" s="2"/>
      <c r="AF38" s="2"/>
      <c r="AG38" s="2"/>
      <c r="AH38" s="2"/>
      <c r="AK38" s="232"/>
      <c r="AL38" s="232"/>
      <c r="AM38" s="232"/>
      <c r="AN38" s="171"/>
    </row>
    <row r="39" spans="2:40" x14ac:dyDescent="0.2">
      <c r="B39" s="146" t="s">
        <v>54</v>
      </c>
      <c r="C39" s="147">
        <f>C38/(1-D40)</f>
        <v>3674337.7458953452</v>
      </c>
      <c r="D39" s="148">
        <f>C39/E39/1000</f>
        <v>17.33178182026106</v>
      </c>
      <c r="E39" s="146">
        <v>212</v>
      </c>
      <c r="F39" s="146" t="s">
        <v>143</v>
      </c>
      <c r="G39" s="146"/>
      <c r="M39" t="s">
        <v>152</v>
      </c>
      <c r="O39" s="26">
        <f>N35/6/N38</f>
        <v>118.47450110864744</v>
      </c>
      <c r="P39" t="s">
        <v>153</v>
      </c>
      <c r="V39" t="s">
        <v>151</v>
      </c>
      <c r="W39">
        <v>134</v>
      </c>
      <c r="X39" s="28"/>
      <c r="Z39" t="s">
        <v>287</v>
      </c>
      <c r="AE39" s="231"/>
      <c r="AF39" s="2"/>
      <c r="AG39" s="2"/>
      <c r="AH39" s="231"/>
      <c r="AK39" s="232"/>
      <c r="AL39" s="232"/>
      <c r="AM39" s="232"/>
      <c r="AN39" s="171"/>
    </row>
    <row r="40" spans="2:40" x14ac:dyDescent="0.2">
      <c r="B40" s="146" t="s">
        <v>105</v>
      </c>
      <c r="C40" s="146"/>
      <c r="D40" s="149">
        <f>D29</f>
        <v>0.10231496718430769</v>
      </c>
      <c r="E40" s="146"/>
      <c r="F40" s="146" t="s">
        <v>144</v>
      </c>
      <c r="G40" s="146"/>
      <c r="V40" t="s">
        <v>152</v>
      </c>
      <c r="X40" s="26">
        <f>W38/W39</f>
        <v>12.164179104477611</v>
      </c>
      <c r="Y40" t="s">
        <v>153</v>
      </c>
      <c r="AE40" s="231"/>
      <c r="AF40" s="231"/>
      <c r="AG40" s="231"/>
      <c r="AH40" s="231"/>
      <c r="AK40" s="232"/>
      <c r="AL40" s="2"/>
      <c r="AM40" s="2"/>
      <c r="AN40" s="171"/>
    </row>
    <row r="41" spans="2:40" x14ac:dyDescent="0.2">
      <c r="B41" t="s">
        <v>151</v>
      </c>
      <c r="C41">
        <v>15040</v>
      </c>
      <c r="D41" s="28"/>
      <c r="M41" s="5"/>
      <c r="N41" s="5">
        <v>2024</v>
      </c>
      <c r="O41" s="5" t="s">
        <v>57</v>
      </c>
      <c r="P41" s="5" t="s">
        <v>58</v>
      </c>
      <c r="Q41" s="5" t="s">
        <v>107</v>
      </c>
      <c r="AE41" s="2"/>
      <c r="AF41" s="2"/>
      <c r="AG41" s="2"/>
      <c r="AH41" s="2"/>
      <c r="AK41" s="2"/>
      <c r="AL41" s="232"/>
      <c r="AM41" s="232"/>
      <c r="AN41" s="171"/>
    </row>
    <row r="42" spans="2:40" x14ac:dyDescent="0.2">
      <c r="B42" t="s">
        <v>152</v>
      </c>
      <c r="D42" s="26">
        <f>C38/7/C41</f>
        <v>31.329768237082064</v>
      </c>
      <c r="E42" t="s">
        <v>153</v>
      </c>
      <c r="M42" t="s">
        <v>53</v>
      </c>
      <c r="N42" s="29">
        <v>632351</v>
      </c>
      <c r="O42" s="26">
        <f>N42/P42/1000</f>
        <v>1.7277349726775957</v>
      </c>
      <c r="P42">
        <v>366</v>
      </c>
      <c r="Q42" t="s">
        <v>108</v>
      </c>
      <c r="R42" s="30"/>
      <c r="AE42" s="2"/>
      <c r="AF42" s="2"/>
      <c r="AG42" s="2"/>
      <c r="AH42" s="2"/>
      <c r="AK42" s="232"/>
      <c r="AL42" s="2"/>
      <c r="AM42" s="2"/>
      <c r="AN42" s="171"/>
    </row>
    <row r="43" spans="2:40" x14ac:dyDescent="0.2">
      <c r="D43" s="27"/>
      <c r="M43" t="s">
        <v>54</v>
      </c>
      <c r="N43" s="29">
        <v>794487</v>
      </c>
      <c r="O43" s="26">
        <f>N43/P43/1000</f>
        <v>2.1707295081967213</v>
      </c>
      <c r="P43">
        <v>366</v>
      </c>
      <c r="Q43" t="s">
        <v>108</v>
      </c>
      <c r="AE43" s="2"/>
      <c r="AF43" s="2"/>
      <c r="AG43" s="2"/>
      <c r="AH43" s="2"/>
      <c r="AK43" s="2"/>
      <c r="AL43" s="232"/>
      <c r="AM43" s="232"/>
      <c r="AN43" s="171"/>
    </row>
    <row r="44" spans="2:40" x14ac:dyDescent="0.2">
      <c r="D44" s="27"/>
      <c r="M44" t="s">
        <v>105</v>
      </c>
      <c r="O44" s="28">
        <f>(O43-O42)/O43</f>
        <v>0.20407634108550546</v>
      </c>
      <c r="Q44" t="s">
        <v>109</v>
      </c>
      <c r="AE44" s="2"/>
      <c r="AF44" s="2"/>
      <c r="AG44" s="2"/>
      <c r="AH44" s="2"/>
      <c r="AK44" s="232"/>
      <c r="AL44" s="232"/>
      <c r="AM44" s="232"/>
      <c r="AN44" s="171"/>
    </row>
    <row r="45" spans="2:40" x14ac:dyDescent="0.2">
      <c r="B45" s="5"/>
      <c r="C45" s="5">
        <v>2024</v>
      </c>
      <c r="D45" s="5" t="s">
        <v>57</v>
      </c>
      <c r="E45" s="5" t="s">
        <v>107</v>
      </c>
      <c r="F45" s="5"/>
      <c r="M45" t="s">
        <v>151</v>
      </c>
      <c r="N45">
        <f>AD104</f>
        <v>456</v>
      </c>
      <c r="O45" s="28" t="s">
        <v>184</v>
      </c>
      <c r="AE45" s="2"/>
      <c r="AF45" s="2"/>
      <c r="AG45" s="2"/>
      <c r="AH45" s="2"/>
      <c r="AK45" s="232"/>
      <c r="AL45" s="232"/>
      <c r="AM45" s="232"/>
      <c r="AN45" s="171"/>
    </row>
    <row r="46" spans="2:40" x14ac:dyDescent="0.2">
      <c r="B46" t="s">
        <v>53</v>
      </c>
      <c r="C46" s="29">
        <v>5575065</v>
      </c>
      <c r="D46" s="26">
        <f t="shared" ref="D46:D47" si="1">C46/E46/1000</f>
        <v>15.232418032786885</v>
      </c>
      <c r="E46">
        <v>366</v>
      </c>
      <c r="F46" t="s">
        <v>140</v>
      </c>
      <c r="M46" t="s">
        <v>152</v>
      </c>
      <c r="O46" s="26">
        <f>N42/12/N45</f>
        <v>115.56122076023391</v>
      </c>
      <c r="P46" t="s">
        <v>153</v>
      </c>
      <c r="AE46" s="2"/>
      <c r="AF46" s="2"/>
      <c r="AG46" s="2"/>
      <c r="AH46" s="2"/>
      <c r="AK46" s="232"/>
      <c r="AL46" s="232"/>
      <c r="AM46" s="232"/>
      <c r="AN46" s="171"/>
    </row>
    <row r="47" spans="2:40" x14ac:dyDescent="0.2">
      <c r="B47" t="s">
        <v>54</v>
      </c>
      <c r="C47" s="29">
        <f>C46/(1-D48)</f>
        <v>6343188.9187872279</v>
      </c>
      <c r="D47" s="26">
        <f t="shared" si="1"/>
        <v>17.331117264445975</v>
      </c>
      <c r="E47">
        <v>366</v>
      </c>
      <c r="F47" t="s">
        <v>143</v>
      </c>
      <c r="AE47" s="2"/>
      <c r="AF47" s="2"/>
      <c r="AG47" s="2"/>
      <c r="AH47" s="2"/>
      <c r="AK47" s="232"/>
    </row>
    <row r="48" spans="2:40" x14ac:dyDescent="0.2">
      <c r="D48" s="28">
        <f>D34</f>
        <v>0.12109428374617721</v>
      </c>
      <c r="F48" t="s">
        <v>144</v>
      </c>
      <c r="M48" s="175" t="s">
        <v>230</v>
      </c>
      <c r="N48" s="175"/>
      <c r="O48" s="175"/>
      <c r="P48" s="175"/>
      <c r="Q48" s="175"/>
      <c r="R48" s="176"/>
      <c r="S48" s="176"/>
      <c r="T48" s="176"/>
      <c r="AD48" s="1"/>
      <c r="AE48" s="233"/>
      <c r="AF48" s="5"/>
      <c r="AG48" s="5"/>
      <c r="AH48" s="5"/>
    </row>
    <row r="49" spans="2:36" x14ac:dyDescent="0.2">
      <c r="M49" s="5"/>
      <c r="N49" s="5" t="s">
        <v>106</v>
      </c>
      <c r="O49" s="5" t="s">
        <v>57</v>
      </c>
      <c r="P49" s="5" t="s">
        <v>58</v>
      </c>
      <c r="Q49" s="5" t="s">
        <v>107</v>
      </c>
    </row>
    <row r="50" spans="2:36" x14ac:dyDescent="0.2">
      <c r="B50" s="1" t="s">
        <v>145</v>
      </c>
      <c r="C50" s="5"/>
      <c r="D50" s="5"/>
      <c r="E50" s="5"/>
      <c r="F50" s="5"/>
      <c r="G50" s="1"/>
      <c r="M50" t="s">
        <v>53</v>
      </c>
      <c r="N50" s="29">
        <f>R76</f>
        <v>223205.96008869179</v>
      </c>
      <c r="O50" s="26">
        <f>N50/P50/1000</f>
        <v>1.2331820999375236</v>
      </c>
      <c r="P50">
        <f>31+28+31+30+31+30</f>
        <v>181</v>
      </c>
      <c r="Q50" t="s">
        <v>108</v>
      </c>
    </row>
    <row r="51" spans="2:36" x14ac:dyDescent="0.2">
      <c r="B51" s="5"/>
      <c r="C51" s="5" t="s">
        <v>139</v>
      </c>
      <c r="D51" s="5" t="s">
        <v>57</v>
      </c>
      <c r="E51" s="5" t="s">
        <v>58</v>
      </c>
      <c r="M51" t="s">
        <v>54</v>
      </c>
      <c r="N51" s="29">
        <f>N50/(1-O37)</f>
        <v>263238.52328159643</v>
      </c>
      <c r="O51" s="26">
        <f>N51/P51/1000</f>
        <v>1.4543564822187647</v>
      </c>
      <c r="P51">
        <f>31+28+31+30+31+30</f>
        <v>181</v>
      </c>
      <c r="Q51" t="s">
        <v>108</v>
      </c>
      <c r="AD51" s="5"/>
    </row>
    <row r="52" spans="2:36" x14ac:dyDescent="0.2">
      <c r="B52" s="146" t="s">
        <v>53</v>
      </c>
      <c r="C52" s="147">
        <v>475417</v>
      </c>
      <c r="D52" s="148">
        <f>C52/E52/1000</f>
        <v>2.2425330188679244</v>
      </c>
      <c r="E52" s="146">
        <v>212</v>
      </c>
      <c r="F52" s="146" t="s">
        <v>140</v>
      </c>
      <c r="G52" s="146"/>
      <c r="M52" t="s">
        <v>105</v>
      </c>
      <c r="O52" s="158">
        <f>(O51-O50)/O51</f>
        <v>0.15207714544911141</v>
      </c>
      <c r="Q52" t="s">
        <v>109</v>
      </c>
      <c r="AG52" s="234"/>
    </row>
    <row r="53" spans="2:36" x14ac:dyDescent="0.2">
      <c r="B53" s="146" t="s">
        <v>54</v>
      </c>
      <c r="C53" s="147">
        <f>C52/(1-D54)</f>
        <v>529603.34930482227</v>
      </c>
      <c r="D53" s="148">
        <f>C53/E53/1000</f>
        <v>2.498129006154822</v>
      </c>
      <c r="E53" s="146">
        <v>212</v>
      </c>
      <c r="F53" s="146" t="s">
        <v>143</v>
      </c>
      <c r="G53" s="146"/>
      <c r="M53" t="s">
        <v>151</v>
      </c>
      <c r="N53" s="30">
        <f>Q76</f>
        <v>314</v>
      </c>
      <c r="O53" s="28"/>
      <c r="AG53" s="234"/>
    </row>
    <row r="54" spans="2:36" x14ac:dyDescent="0.2">
      <c r="B54" s="146" t="s">
        <v>105</v>
      </c>
      <c r="C54" s="146"/>
      <c r="D54" s="149">
        <f>D40</f>
        <v>0.10231496718430769</v>
      </c>
      <c r="E54" s="146"/>
      <c r="F54" s="146" t="s">
        <v>144</v>
      </c>
      <c r="G54" s="146"/>
      <c r="M54" t="s">
        <v>152</v>
      </c>
      <c r="O54" s="26">
        <f>N50/6/N53</f>
        <v>118.47450110864744</v>
      </c>
      <c r="P54" t="s">
        <v>153</v>
      </c>
      <c r="AG54" s="234"/>
    </row>
    <row r="55" spans="2:36" x14ac:dyDescent="0.2">
      <c r="D55" s="27"/>
      <c r="AG55" s="234"/>
    </row>
    <row r="56" spans="2:36" x14ac:dyDescent="0.2">
      <c r="B56" s="5"/>
      <c r="C56" s="5">
        <v>2024</v>
      </c>
      <c r="D56" s="5" t="s">
        <v>57</v>
      </c>
      <c r="E56" s="5" t="s">
        <v>107</v>
      </c>
      <c r="F56" s="5"/>
      <c r="M56" s="5"/>
      <c r="N56" s="5">
        <v>2024</v>
      </c>
      <c r="O56" s="5" t="s">
        <v>57</v>
      </c>
      <c r="P56" s="5" t="s">
        <v>58</v>
      </c>
      <c r="Q56" s="5" t="s">
        <v>107</v>
      </c>
      <c r="AF56" s="30"/>
      <c r="AG56" s="234"/>
      <c r="AJ56" s="234"/>
    </row>
    <row r="57" spans="2:36" x14ac:dyDescent="0.2">
      <c r="B57" t="s">
        <v>53</v>
      </c>
      <c r="C57" s="29">
        <v>803743</v>
      </c>
      <c r="D57" s="26">
        <f t="shared" ref="D57:D58" si="2">C57/E57/1000</f>
        <v>2.1960191256830597</v>
      </c>
      <c r="E57">
        <v>366</v>
      </c>
      <c r="F57" t="s">
        <v>140</v>
      </c>
      <c r="M57" t="s">
        <v>53</v>
      </c>
      <c r="N57" s="29">
        <f>R92</f>
        <v>445141.82236842101</v>
      </c>
      <c r="O57" s="26">
        <f>N57/P57/1000</f>
        <v>1.2162344873454125</v>
      </c>
      <c r="P57">
        <v>366</v>
      </c>
      <c r="Q57" t="s">
        <v>108</v>
      </c>
      <c r="R57" s="30"/>
      <c r="AG57" s="234"/>
    </row>
    <row r="58" spans="2:36" x14ac:dyDescent="0.2">
      <c r="B58" t="s">
        <v>54</v>
      </c>
      <c r="C58" s="29">
        <f>C57/(1-D59)</f>
        <v>914481.47979490878</v>
      </c>
      <c r="D58" s="26">
        <f t="shared" si="2"/>
        <v>2.4985832781281663</v>
      </c>
      <c r="E58">
        <v>366</v>
      </c>
      <c r="F58" t="s">
        <v>143</v>
      </c>
      <c r="M58" t="s">
        <v>54</v>
      </c>
      <c r="N58" s="29">
        <f>N57/(1-O44)</f>
        <v>559277.03289473674</v>
      </c>
      <c r="O58" s="26">
        <f>N58/P58/1000</f>
        <v>1.5280793248490074</v>
      </c>
      <c r="P58">
        <v>366</v>
      </c>
      <c r="Q58" t="s">
        <v>108</v>
      </c>
      <c r="AG58" s="234"/>
    </row>
    <row r="59" spans="2:36" x14ac:dyDescent="0.2">
      <c r="D59" s="28">
        <f>D48</f>
        <v>0.12109428374617721</v>
      </c>
      <c r="F59" t="s">
        <v>144</v>
      </c>
      <c r="M59" t="s">
        <v>105</v>
      </c>
      <c r="O59" s="28">
        <f>(O58-O57)/O58</f>
        <v>0.20407634108550546</v>
      </c>
      <c r="Q59" t="s">
        <v>109</v>
      </c>
      <c r="AG59" s="234"/>
    </row>
    <row r="60" spans="2:36" x14ac:dyDescent="0.2">
      <c r="M60" t="s">
        <v>151</v>
      </c>
      <c r="N60">
        <f>Q92</f>
        <v>321</v>
      </c>
      <c r="O60" s="28" t="s">
        <v>184</v>
      </c>
      <c r="AG60" s="234"/>
    </row>
    <row r="61" spans="2:36" x14ac:dyDescent="0.2">
      <c r="M61" t="s">
        <v>152</v>
      </c>
      <c r="O61" s="26">
        <f>N57/12/N60</f>
        <v>115.56122076023391</v>
      </c>
      <c r="P61" t="s">
        <v>153</v>
      </c>
      <c r="AG61" s="234"/>
    </row>
    <row r="62" spans="2:36" x14ac:dyDescent="0.2">
      <c r="O62" s="26"/>
      <c r="AG62" s="234"/>
    </row>
    <row r="63" spans="2:36" x14ac:dyDescent="0.2">
      <c r="O63" s="26"/>
      <c r="AG63" s="234"/>
    </row>
    <row r="64" spans="2:36" x14ac:dyDescent="0.2">
      <c r="N64" s="5">
        <v>2025</v>
      </c>
      <c r="O64" s="26"/>
      <c r="AG64" s="234"/>
    </row>
    <row r="65" spans="14:37" x14ac:dyDescent="0.2">
      <c r="N65" s="5" t="s">
        <v>298</v>
      </c>
      <c r="O65" s="177" t="s">
        <v>203</v>
      </c>
      <c r="P65" s="5" t="s">
        <v>204</v>
      </c>
      <c r="Q65" t="s">
        <v>299</v>
      </c>
      <c r="R65" t="s">
        <v>53</v>
      </c>
      <c r="AD65" s="1"/>
      <c r="AG65" s="234"/>
    </row>
    <row r="66" spans="14:37" x14ac:dyDescent="0.2">
      <c r="N66" t="s">
        <v>26</v>
      </c>
    </row>
    <row r="67" spans="14:37" x14ac:dyDescent="0.2">
      <c r="N67" t="s">
        <v>27</v>
      </c>
      <c r="O67">
        <v>8</v>
      </c>
      <c r="P67">
        <v>14</v>
      </c>
      <c r="Q67">
        <f>SUM(O67:P67)</f>
        <v>22</v>
      </c>
    </row>
    <row r="68" spans="14:37" x14ac:dyDescent="0.2">
      <c r="N68" t="s">
        <v>28</v>
      </c>
      <c r="O68">
        <v>40</v>
      </c>
      <c r="P68">
        <v>39</v>
      </c>
      <c r="Q68">
        <f t="shared" ref="Q68:Q70" si="3">SUM(O68:P68)</f>
        <v>79</v>
      </c>
    </row>
    <row r="69" spans="14:37" x14ac:dyDescent="0.2">
      <c r="N69" t="s">
        <v>29</v>
      </c>
      <c r="O69">
        <v>4</v>
      </c>
      <c r="P69">
        <v>1</v>
      </c>
      <c r="Q69">
        <f t="shared" si="3"/>
        <v>5</v>
      </c>
      <c r="AK69" s="142"/>
    </row>
    <row r="70" spans="14:37" x14ac:dyDescent="0.2">
      <c r="N70" t="s">
        <v>30</v>
      </c>
      <c r="O70">
        <v>38</v>
      </c>
      <c r="P70">
        <v>16</v>
      </c>
      <c r="Q70">
        <f t="shared" si="3"/>
        <v>54</v>
      </c>
      <c r="AD70" s="141" t="s">
        <v>86</v>
      </c>
      <c r="AE70" s="141"/>
      <c r="AF70" s="141"/>
      <c r="AG70" s="141"/>
      <c r="AH70" s="141"/>
      <c r="AI70" s="142"/>
      <c r="AJ70" s="142"/>
      <c r="AK70" s="176"/>
    </row>
    <row r="71" spans="14:37" x14ac:dyDescent="0.2">
      <c r="N71" t="s">
        <v>31</v>
      </c>
      <c r="AD71" s="175" t="s">
        <v>296</v>
      </c>
      <c r="AE71" s="175"/>
      <c r="AF71" s="175"/>
      <c r="AG71" s="175"/>
      <c r="AH71" s="175"/>
      <c r="AI71" s="176"/>
      <c r="AJ71" s="176"/>
    </row>
    <row r="72" spans="14:37" x14ac:dyDescent="0.2">
      <c r="N72" t="s">
        <v>32</v>
      </c>
      <c r="AD72" s="5"/>
      <c r="AE72" s="5" t="s">
        <v>106</v>
      </c>
      <c r="AF72" s="5" t="s">
        <v>57</v>
      </c>
      <c r="AG72" s="5" t="s">
        <v>58</v>
      </c>
      <c r="AH72" s="5" t="s">
        <v>107</v>
      </c>
    </row>
    <row r="73" spans="14:37" x14ac:dyDescent="0.2">
      <c r="N73" t="s">
        <v>33</v>
      </c>
      <c r="O73">
        <v>2</v>
      </c>
      <c r="P73">
        <v>2</v>
      </c>
      <c r="Q73">
        <f>SUM(O73:P73)</f>
        <v>4</v>
      </c>
      <c r="AD73" t="s">
        <v>53</v>
      </c>
      <c r="AE73" s="29">
        <f>AI90</f>
        <v>97386.039911308195</v>
      </c>
      <c r="AF73" s="26">
        <f>AE73/AG73/1000</f>
        <v>0.53804441939949277</v>
      </c>
      <c r="AG73">
        <f>31+28+31+30+31+30</f>
        <v>181</v>
      </c>
      <c r="AH73" t="s">
        <v>108</v>
      </c>
    </row>
    <row r="74" spans="14:37" x14ac:dyDescent="0.2">
      <c r="N74" t="s">
        <v>34</v>
      </c>
      <c r="AD74" t="s">
        <v>54</v>
      </c>
      <c r="AE74" s="29">
        <f>AE73/(1-AF75)</f>
        <v>114852.47671840353</v>
      </c>
      <c r="AF74" s="26">
        <f>AE74/AG74/1000</f>
        <v>0.63454407026742288</v>
      </c>
      <c r="AG74">
        <f>31+28+31+30+31+30</f>
        <v>181</v>
      </c>
      <c r="AH74" t="s">
        <v>108</v>
      </c>
    </row>
    <row r="75" spans="14:37" x14ac:dyDescent="0.2">
      <c r="N75" t="s">
        <v>35</v>
      </c>
      <c r="O75">
        <v>57</v>
      </c>
      <c r="P75">
        <v>93</v>
      </c>
      <c r="Q75">
        <f t="shared" ref="Q75:Q76" si="4">SUM(O75:P75)</f>
        <v>150</v>
      </c>
      <c r="AD75" t="s">
        <v>105</v>
      </c>
      <c r="AF75" s="28">
        <f>O52</f>
        <v>0.15207714544911141</v>
      </c>
      <c r="AH75" t="s">
        <v>109</v>
      </c>
    </row>
    <row r="76" spans="14:37" x14ac:dyDescent="0.2">
      <c r="N76" s="1" t="s">
        <v>47</v>
      </c>
      <c r="O76" s="1">
        <f>SUM(O66:O75)</f>
        <v>149</v>
      </c>
      <c r="P76" s="1">
        <f>SUM(P66:P75)</f>
        <v>165</v>
      </c>
      <c r="Q76" s="1">
        <f t="shared" si="4"/>
        <v>314</v>
      </c>
      <c r="R76" s="31">
        <f>Q76*O39*6</f>
        <v>223205.96008869179</v>
      </c>
      <c r="AD76" t="s">
        <v>151</v>
      </c>
      <c r="AE76" s="30">
        <f>AH90</f>
        <v>137</v>
      </c>
      <c r="AF76" s="28"/>
    </row>
    <row r="77" spans="14:37" x14ac:dyDescent="0.2">
      <c r="O77" s="26"/>
      <c r="AD77" t="s">
        <v>152</v>
      </c>
      <c r="AF77" s="26">
        <f>O54</f>
        <v>118.47450110864744</v>
      </c>
      <c r="AG77" t="s">
        <v>153</v>
      </c>
    </row>
    <row r="78" spans="14:37" x14ac:dyDescent="0.2">
      <c r="O78" s="26"/>
    </row>
    <row r="79" spans="14:37" x14ac:dyDescent="0.2">
      <c r="O79" s="26"/>
      <c r="AD79" s="5"/>
      <c r="AE79" s="5">
        <v>2024</v>
      </c>
      <c r="AF79" s="5" t="s">
        <v>57</v>
      </c>
      <c r="AG79" s="5" t="s">
        <v>58</v>
      </c>
      <c r="AH79" s="5" t="s">
        <v>107</v>
      </c>
    </row>
    <row r="80" spans="14:37" x14ac:dyDescent="0.2">
      <c r="N80" s="5">
        <v>2024</v>
      </c>
      <c r="O80" s="26"/>
      <c r="AD80" t="s">
        <v>53</v>
      </c>
      <c r="AE80" s="29">
        <f>AI96</f>
        <v>187209.17763157893</v>
      </c>
      <c r="AF80" s="26">
        <f>AE80/AG80/1000</f>
        <v>0.51150048533218284</v>
      </c>
      <c r="AG80">
        <v>366</v>
      </c>
      <c r="AH80" t="s">
        <v>108</v>
      </c>
      <c r="AI80" s="30"/>
    </row>
    <row r="81" spans="12:35" x14ac:dyDescent="0.2">
      <c r="N81" s="5" t="s">
        <v>298</v>
      </c>
      <c r="O81" s="177" t="s">
        <v>203</v>
      </c>
      <c r="P81" s="5" t="s">
        <v>204</v>
      </c>
      <c r="Q81" t="s">
        <v>299</v>
      </c>
      <c r="AD81" t="s">
        <v>54</v>
      </c>
      <c r="AE81" s="29">
        <f>AE80/(1-AF82)</f>
        <v>235209.96710526312</v>
      </c>
      <c r="AF81" s="26">
        <f>AE81/AG81/1000</f>
        <v>0.6426501833477134</v>
      </c>
      <c r="AG81">
        <v>366</v>
      </c>
      <c r="AH81" t="s">
        <v>108</v>
      </c>
    </row>
    <row r="82" spans="12:35" x14ac:dyDescent="0.2">
      <c r="N82" t="s">
        <v>26</v>
      </c>
      <c r="AD82" t="s">
        <v>105</v>
      </c>
      <c r="AF82" s="28">
        <f>O44</f>
        <v>0.20407634108550546</v>
      </c>
      <c r="AH82" t="s">
        <v>109</v>
      </c>
    </row>
    <row r="83" spans="12:35" x14ac:dyDescent="0.2">
      <c r="N83" t="s">
        <v>27</v>
      </c>
      <c r="O83">
        <v>7</v>
      </c>
      <c r="P83">
        <v>14</v>
      </c>
      <c r="Q83">
        <f>SUM(O83:P83)</f>
        <v>21</v>
      </c>
      <c r="AD83" t="s">
        <v>151</v>
      </c>
      <c r="AE83" t="str">
        <f>AH115</f>
        <v>based on KII</v>
      </c>
      <c r="AF83" s="28" t="s">
        <v>184</v>
      </c>
    </row>
    <row r="84" spans="12:35" x14ac:dyDescent="0.2">
      <c r="N84" t="s">
        <v>28</v>
      </c>
      <c r="O84">
        <v>45</v>
      </c>
      <c r="P84">
        <v>39</v>
      </c>
      <c r="Q84">
        <f t="shared" ref="Q84:Q86" si="5">SUM(O84:P84)</f>
        <v>84</v>
      </c>
      <c r="AD84" t="s">
        <v>152</v>
      </c>
      <c r="AF84" s="26">
        <f>O46</f>
        <v>115.56122076023391</v>
      </c>
      <c r="AG84" t="s">
        <v>153</v>
      </c>
    </row>
    <row r="85" spans="12:35" x14ac:dyDescent="0.2">
      <c r="N85" t="s">
        <v>29</v>
      </c>
      <c r="O85">
        <v>7</v>
      </c>
      <c r="P85">
        <v>5</v>
      </c>
      <c r="Q85">
        <f t="shared" si="5"/>
        <v>12</v>
      </c>
    </row>
    <row r="86" spans="12:35" x14ac:dyDescent="0.2">
      <c r="N86" t="s">
        <v>30</v>
      </c>
      <c r="O86">
        <v>31</v>
      </c>
      <c r="P86">
        <v>12</v>
      </c>
      <c r="Q86">
        <f t="shared" si="5"/>
        <v>43</v>
      </c>
      <c r="AE86" s="5" t="s">
        <v>297</v>
      </c>
      <c r="AF86" s="5" t="s">
        <v>203</v>
      </c>
      <c r="AG86" s="5" t="s">
        <v>204</v>
      </c>
      <c r="AH86" s="5" t="s">
        <v>47</v>
      </c>
      <c r="AI86" s="5" t="s">
        <v>53</v>
      </c>
    </row>
    <row r="87" spans="12:35" x14ac:dyDescent="0.2">
      <c r="N87" t="s">
        <v>31</v>
      </c>
      <c r="AE87" t="s">
        <v>249</v>
      </c>
      <c r="AF87">
        <v>70</v>
      </c>
      <c r="AG87">
        <v>11</v>
      </c>
      <c r="AH87">
        <f>SUM(AF87:AG87)</f>
        <v>81</v>
      </c>
    </row>
    <row r="88" spans="12:35" x14ac:dyDescent="0.2">
      <c r="N88" t="s">
        <v>32</v>
      </c>
      <c r="AE88" t="s">
        <v>22</v>
      </c>
      <c r="AF88">
        <v>6</v>
      </c>
      <c r="AG88">
        <v>10</v>
      </c>
      <c r="AH88">
        <f t="shared" ref="AH88:AH90" si="6">SUM(AF88:AG88)</f>
        <v>16</v>
      </c>
    </row>
    <row r="89" spans="12:35" x14ac:dyDescent="0.2">
      <c r="N89" t="s">
        <v>33</v>
      </c>
      <c r="O89">
        <v>2</v>
      </c>
      <c r="P89">
        <v>2</v>
      </c>
      <c r="Q89">
        <f>SUM(O89:P89)</f>
        <v>4</v>
      </c>
      <c r="AE89" t="s">
        <v>16</v>
      </c>
      <c r="AF89">
        <v>25</v>
      </c>
      <c r="AG89">
        <v>15</v>
      </c>
      <c r="AH89">
        <f t="shared" si="6"/>
        <v>40</v>
      </c>
    </row>
    <row r="90" spans="12:35" x14ac:dyDescent="0.2">
      <c r="N90" t="s">
        <v>34</v>
      </c>
      <c r="AE90" s="1" t="s">
        <v>47</v>
      </c>
      <c r="AF90" s="1">
        <f>SUM(AF87:AF89)</f>
        <v>101</v>
      </c>
      <c r="AG90" s="1">
        <f>SUM(AG87:AG89)</f>
        <v>36</v>
      </c>
      <c r="AH90" s="1">
        <f t="shared" si="6"/>
        <v>137</v>
      </c>
      <c r="AI90" s="31">
        <f>AH90*AF77*6</f>
        <v>97386.039911308195</v>
      </c>
    </row>
    <row r="91" spans="12:35" x14ac:dyDescent="0.2">
      <c r="N91" t="s">
        <v>35</v>
      </c>
      <c r="O91">
        <v>61</v>
      </c>
      <c r="P91">
        <v>96</v>
      </c>
      <c r="Q91">
        <f t="shared" ref="Q91:Q92" si="7">SUM(O91:P91)</f>
        <v>157</v>
      </c>
    </row>
    <row r="92" spans="12:35" x14ac:dyDescent="0.2">
      <c r="N92" s="1" t="s">
        <v>47</v>
      </c>
      <c r="O92" s="1">
        <f>SUM(O82:O91)</f>
        <v>153</v>
      </c>
      <c r="P92" s="1">
        <f>SUM(P82:P91)</f>
        <v>168</v>
      </c>
      <c r="Q92" s="1">
        <f t="shared" si="7"/>
        <v>321</v>
      </c>
      <c r="R92" s="31">
        <f>Q92*O46*12</f>
        <v>445141.82236842101</v>
      </c>
      <c r="AE92" s="5" t="s">
        <v>215</v>
      </c>
      <c r="AF92" s="5" t="s">
        <v>203</v>
      </c>
      <c r="AG92" s="5" t="s">
        <v>204</v>
      </c>
      <c r="AH92" s="5" t="s">
        <v>47</v>
      </c>
    </row>
    <row r="93" spans="12:35" x14ac:dyDescent="0.2">
      <c r="AE93" t="s">
        <v>249</v>
      </c>
      <c r="AF93">
        <v>70</v>
      </c>
      <c r="AG93">
        <v>11</v>
      </c>
      <c r="AH93">
        <f>SUM(AF93:AG93)</f>
        <v>81</v>
      </c>
    </row>
    <row r="94" spans="12:35" x14ac:dyDescent="0.2">
      <c r="M94" s="141" t="s">
        <v>7</v>
      </c>
      <c r="N94" s="141"/>
      <c r="O94" s="141"/>
      <c r="P94" s="141"/>
      <c r="Q94" s="141"/>
      <c r="R94" s="142"/>
      <c r="AE94" t="s">
        <v>22</v>
      </c>
      <c r="AF94">
        <v>5</v>
      </c>
      <c r="AG94">
        <v>10</v>
      </c>
      <c r="AH94">
        <f t="shared" ref="AH94:AH96" si="8">SUM(AF94:AG94)</f>
        <v>15</v>
      </c>
    </row>
    <row r="95" spans="12:35" x14ac:dyDescent="0.2">
      <c r="L95" s="31">
        <f>N96/6</f>
        <v>26416.5</v>
      </c>
      <c r="M95" s="5"/>
      <c r="N95" s="5" t="s">
        <v>106</v>
      </c>
      <c r="O95" s="5" t="s">
        <v>57</v>
      </c>
      <c r="P95" s="5" t="s">
        <v>58</v>
      </c>
      <c r="Q95" s="5" t="s">
        <v>107</v>
      </c>
      <c r="AE95" t="s">
        <v>16</v>
      </c>
      <c r="AF95">
        <v>26</v>
      </c>
      <c r="AG95">
        <v>13</v>
      </c>
      <c r="AH95">
        <f t="shared" si="8"/>
        <v>39</v>
      </c>
    </row>
    <row r="96" spans="12:35" x14ac:dyDescent="0.2">
      <c r="L96" s="31">
        <f>N97/6</f>
        <v>34000</v>
      </c>
      <c r="M96" t="s">
        <v>53</v>
      </c>
      <c r="N96" s="29">
        <f>127270+31229</f>
        <v>158499</v>
      </c>
      <c r="O96" s="26">
        <f>N96/P96/1000</f>
        <v>0.87568508287292823</v>
      </c>
      <c r="P96">
        <f>31+28+31+30+31+30</f>
        <v>181</v>
      </c>
      <c r="Q96" t="s">
        <v>108</v>
      </c>
      <c r="AE96" s="1" t="s">
        <v>47</v>
      </c>
      <c r="AF96" s="1">
        <f>SUM(AF93:AF95)</f>
        <v>101</v>
      </c>
      <c r="AG96" s="1">
        <f>SUM(AG93:AG95)</f>
        <v>34</v>
      </c>
      <c r="AH96" s="1">
        <f t="shared" si="8"/>
        <v>135</v>
      </c>
      <c r="AI96" s="31">
        <f>AH96*AF84*12</f>
        <v>187209.17763157893</v>
      </c>
    </row>
    <row r="97" spans="12:37" x14ac:dyDescent="0.2">
      <c r="M97" t="s">
        <v>54</v>
      </c>
      <c r="N97" s="29">
        <f>34000*6</f>
        <v>204000</v>
      </c>
      <c r="O97" s="26">
        <f>N97/P97/1000</f>
        <v>1.1270718232044199</v>
      </c>
      <c r="P97">
        <f>31+28+31+30+31+30</f>
        <v>181</v>
      </c>
      <c r="Q97" t="s">
        <v>210</v>
      </c>
    </row>
    <row r="98" spans="12:37" x14ac:dyDescent="0.2">
      <c r="M98" t="s">
        <v>105</v>
      </c>
      <c r="O98" s="158">
        <f>(O97-O96)/O97</f>
        <v>0.22304411764705878</v>
      </c>
      <c r="Q98" t="s">
        <v>109</v>
      </c>
      <c r="AD98" t="s">
        <v>300</v>
      </c>
    </row>
    <row r="99" spans="12:37" x14ac:dyDescent="0.2">
      <c r="M99" t="s">
        <v>151</v>
      </c>
      <c r="N99" s="30">
        <f>86+56+49+25</f>
        <v>216</v>
      </c>
      <c r="O99" s="28"/>
      <c r="AD99" s="30">
        <f>AE73+N50</f>
        <v>320592</v>
      </c>
      <c r="AE99" t="s">
        <v>301</v>
      </c>
      <c r="AF99" s="30">
        <f>AD99-N35</f>
        <v>0</v>
      </c>
    </row>
    <row r="100" spans="12:37" x14ac:dyDescent="0.2">
      <c r="M100" t="s">
        <v>152</v>
      </c>
      <c r="O100" s="26">
        <f>N96/6/N99</f>
        <v>122.29861111111111</v>
      </c>
      <c r="P100" t="s">
        <v>153</v>
      </c>
      <c r="AD100" s="30">
        <f>AE76+N53</f>
        <v>451</v>
      </c>
      <c r="AE100" t="s">
        <v>304</v>
      </c>
    </row>
    <row r="101" spans="12:37" x14ac:dyDescent="0.2">
      <c r="AD101">
        <f>AF90+O76</f>
        <v>250</v>
      </c>
      <c r="AE101" t="s">
        <v>302</v>
      </c>
    </row>
    <row r="102" spans="12:37" x14ac:dyDescent="0.2">
      <c r="L102" s="31">
        <f>N103/12</f>
        <v>25246</v>
      </c>
      <c r="M102" s="5"/>
      <c r="N102" s="5">
        <v>2024</v>
      </c>
      <c r="O102" s="5" t="s">
        <v>57</v>
      </c>
      <c r="P102" s="5" t="s">
        <v>58</v>
      </c>
      <c r="Q102" s="5" t="s">
        <v>107</v>
      </c>
      <c r="AD102">
        <f>AG90+P76</f>
        <v>201</v>
      </c>
      <c r="AE102" t="s">
        <v>303</v>
      </c>
    </row>
    <row r="103" spans="12:37" x14ac:dyDescent="0.2">
      <c r="L103" s="31">
        <f>N104/12</f>
        <v>34000</v>
      </c>
      <c r="M103" t="s">
        <v>53</v>
      </c>
      <c r="N103" s="29">
        <f>54630+248322</f>
        <v>302952</v>
      </c>
      <c r="O103" s="26">
        <f>N103/P103/1000</f>
        <v>0.82773770491803278</v>
      </c>
      <c r="P103">
        <v>366</v>
      </c>
      <c r="Q103" t="s">
        <v>108</v>
      </c>
      <c r="R103" s="30"/>
    </row>
    <row r="104" spans="12:37" x14ac:dyDescent="0.2">
      <c r="M104" t="s">
        <v>54</v>
      </c>
      <c r="N104" s="29">
        <f>34000*12</f>
        <v>408000</v>
      </c>
      <c r="O104" s="26">
        <f>N104/P104/1000</f>
        <v>1.1147540983606556</v>
      </c>
      <c r="P104">
        <v>366</v>
      </c>
      <c r="Q104" t="s">
        <v>210</v>
      </c>
      <c r="AD104">
        <f>AH96+Q92</f>
        <v>456</v>
      </c>
      <c r="AE104" t="s">
        <v>305</v>
      </c>
    </row>
    <row r="105" spans="12:37" x14ac:dyDescent="0.2">
      <c r="M105" t="s">
        <v>105</v>
      </c>
      <c r="O105" s="28">
        <f>(O104-O103)/O104</f>
        <v>0.25747058823529406</v>
      </c>
      <c r="Q105" t="s">
        <v>214</v>
      </c>
    </row>
    <row r="106" spans="12:37" x14ac:dyDescent="0.2">
      <c r="M106" t="s">
        <v>151</v>
      </c>
      <c r="N106">
        <f>80+50+40+15</f>
        <v>185</v>
      </c>
      <c r="O106" s="28"/>
      <c r="AK106" s="142"/>
    </row>
    <row r="107" spans="12:37" x14ac:dyDescent="0.2">
      <c r="M107" t="s">
        <v>152</v>
      </c>
      <c r="O107" s="26">
        <f>N103/12/N106</f>
        <v>136.46486486486486</v>
      </c>
      <c r="P107" t="s">
        <v>153</v>
      </c>
      <c r="AD107" s="141" t="s">
        <v>352</v>
      </c>
      <c r="AE107" s="141"/>
      <c r="AF107" s="141"/>
      <c r="AG107" s="141"/>
      <c r="AH107" s="141"/>
      <c r="AI107" s="142"/>
      <c r="AJ107" s="142"/>
    </row>
    <row r="108" spans="12:37" x14ac:dyDescent="0.2">
      <c r="AD108" t="s">
        <v>281</v>
      </c>
    </row>
    <row r="109" spans="12:37" x14ac:dyDescent="0.2">
      <c r="M109" s="141" t="s">
        <v>213</v>
      </c>
      <c r="N109" s="141"/>
      <c r="O109" s="141"/>
      <c r="P109" s="141"/>
      <c r="Q109" s="141"/>
      <c r="R109" s="142"/>
      <c r="AD109" t="s">
        <v>282</v>
      </c>
      <c r="AE109">
        <v>12</v>
      </c>
      <c r="AF109" t="s">
        <v>283</v>
      </c>
    </row>
    <row r="110" spans="12:37" x14ac:dyDescent="0.2">
      <c r="L110" s="31">
        <f>N111/4</f>
        <v>39833</v>
      </c>
      <c r="M110" s="5"/>
      <c r="N110" s="5" t="s">
        <v>217</v>
      </c>
      <c r="O110" s="5" t="s">
        <v>57</v>
      </c>
      <c r="P110" s="5" t="s">
        <v>58</v>
      </c>
      <c r="Q110" s="5" t="s">
        <v>107</v>
      </c>
      <c r="AD110" t="s">
        <v>284</v>
      </c>
      <c r="AE110" s="29">
        <f>1100000/12</f>
        <v>91666.666666666672</v>
      </c>
      <c r="AF110" t="s">
        <v>285</v>
      </c>
    </row>
    <row r="111" spans="12:37" x14ac:dyDescent="0.2">
      <c r="L111" s="31">
        <f>N112/4</f>
        <v>54117.5</v>
      </c>
      <c r="M111" t="s">
        <v>53</v>
      </c>
      <c r="N111" s="29">
        <f>38973+45522+36827+38010</f>
        <v>159332</v>
      </c>
      <c r="O111" s="26">
        <f>N111/P111/1000</f>
        <v>1.316793388429752</v>
      </c>
      <c r="P111">
        <f>30+31+30+30</f>
        <v>121</v>
      </c>
      <c r="Q111" t="s">
        <v>108</v>
      </c>
      <c r="AD111" t="s">
        <v>286</v>
      </c>
      <c r="AE111" s="29">
        <f>AE110/AE109</f>
        <v>7638.8888888888896</v>
      </c>
    </row>
    <row r="112" spans="12:37" x14ac:dyDescent="0.2">
      <c r="M112" t="s">
        <v>54</v>
      </c>
      <c r="N112" s="29">
        <f>51720+48610+57590+58550</f>
        <v>216470</v>
      </c>
      <c r="O112" s="26">
        <f>N112/P112/1000</f>
        <v>1.7890082644628098</v>
      </c>
      <c r="P112">
        <f>P111</f>
        <v>121</v>
      </c>
      <c r="Q112" t="s">
        <v>108</v>
      </c>
    </row>
    <row r="113" spans="13:37" x14ac:dyDescent="0.2">
      <c r="M113" t="s">
        <v>105</v>
      </c>
      <c r="O113" s="158">
        <f>(O112-O111)/O112</f>
        <v>0.26395343465607241</v>
      </c>
      <c r="Q113" t="s">
        <v>109</v>
      </c>
      <c r="AD113" s="5"/>
      <c r="AE113" s="5"/>
      <c r="AF113" s="5" t="s">
        <v>57</v>
      </c>
      <c r="AG113" s="5" t="s">
        <v>58</v>
      </c>
      <c r="AH113" s="5" t="s">
        <v>107</v>
      </c>
    </row>
    <row r="114" spans="13:37" x14ac:dyDescent="0.2">
      <c r="M114" t="s">
        <v>151</v>
      </c>
      <c r="N114" s="30">
        <v>789</v>
      </c>
      <c r="O114" s="28"/>
      <c r="AD114" t="s">
        <v>53</v>
      </c>
      <c r="AE114" s="29">
        <f>AE111</f>
        <v>7638.8888888888896</v>
      </c>
      <c r="AF114" s="174">
        <f>AE114/AG114/1000</f>
        <v>0.25127923976608191</v>
      </c>
      <c r="AG114">
        <v>30.4</v>
      </c>
      <c r="AH114" t="s">
        <v>108</v>
      </c>
    </row>
    <row r="115" spans="13:37" x14ac:dyDescent="0.2">
      <c r="M115" t="s">
        <v>152</v>
      </c>
      <c r="O115" s="26">
        <f>N111/6/N114</f>
        <v>33.656949725390788</v>
      </c>
      <c r="P115" t="s">
        <v>153</v>
      </c>
      <c r="AD115" t="s">
        <v>151</v>
      </c>
      <c r="AE115">
        <v>1000</v>
      </c>
      <c r="AF115" s="28"/>
      <c r="AH115" t="s">
        <v>287</v>
      </c>
    </row>
    <row r="116" spans="13:37" x14ac:dyDescent="0.2">
      <c r="AD116" t="s">
        <v>152</v>
      </c>
      <c r="AF116" s="26">
        <f>AE114/AE115</f>
        <v>7.6388888888888893</v>
      </c>
      <c r="AG116" t="s">
        <v>153</v>
      </c>
    </row>
    <row r="118" spans="13:37" x14ac:dyDescent="0.2">
      <c r="AK118" s="142"/>
    </row>
    <row r="119" spans="13:37" x14ac:dyDescent="0.2">
      <c r="AD119" s="141" t="s">
        <v>357</v>
      </c>
      <c r="AE119" s="141"/>
      <c r="AF119" s="141"/>
      <c r="AG119" s="141"/>
      <c r="AH119" s="141"/>
      <c r="AI119" s="142"/>
      <c r="AJ119" s="142"/>
    </row>
    <row r="120" spans="13:37" x14ac:dyDescent="0.2">
      <c r="AD120" t="s">
        <v>151</v>
      </c>
      <c r="AE120" s="171">
        <v>0.95</v>
      </c>
      <c r="AF120" t="s">
        <v>362</v>
      </c>
    </row>
    <row r="121" spans="13:37" x14ac:dyDescent="0.2">
      <c r="AD121" t="s">
        <v>363</v>
      </c>
      <c r="AE121">
        <v>2553</v>
      </c>
    </row>
    <row r="122" spans="13:37" x14ac:dyDescent="0.2">
      <c r="AD122" t="s">
        <v>364</v>
      </c>
      <c r="AE122" s="228">
        <f>AE121*AE120</f>
        <v>2425.35</v>
      </c>
    </row>
    <row r="123" spans="13:37" x14ac:dyDescent="0.2">
      <c r="AD123" t="s">
        <v>365</v>
      </c>
      <c r="AE123" s="228">
        <f>AE122/4.6</f>
        <v>527.25</v>
      </c>
    </row>
    <row r="124" spans="13:37" x14ac:dyDescent="0.2">
      <c r="AE124">
        <v>527</v>
      </c>
      <c r="AF124" t="s">
        <v>366</v>
      </c>
      <c r="AG124" t="s">
        <v>367</v>
      </c>
    </row>
    <row r="126" spans="13:37" x14ac:dyDescent="0.2">
      <c r="AK126" s="142"/>
    </row>
    <row r="127" spans="13:37" x14ac:dyDescent="0.2">
      <c r="AD127" s="141" t="s">
        <v>358</v>
      </c>
      <c r="AE127" s="141"/>
      <c r="AF127" s="141"/>
      <c r="AG127" s="141"/>
      <c r="AH127" s="141"/>
      <c r="AI127" s="142"/>
      <c r="AJ127" s="142"/>
    </row>
    <row r="128" spans="13:37" x14ac:dyDescent="0.2">
      <c r="AD128" t="s">
        <v>281</v>
      </c>
    </row>
    <row r="129" spans="30:34" x14ac:dyDescent="0.2">
      <c r="AD129" t="s">
        <v>282</v>
      </c>
      <c r="AE129">
        <f>(10+13)/2</f>
        <v>11.5</v>
      </c>
      <c r="AF129" t="s">
        <v>283</v>
      </c>
    </row>
    <row r="130" spans="30:34" x14ac:dyDescent="0.2">
      <c r="AD130" t="s">
        <v>284</v>
      </c>
      <c r="AE130" s="29">
        <v>50000</v>
      </c>
      <c r="AF130" t="s">
        <v>285</v>
      </c>
    </row>
    <row r="131" spans="30:34" x14ac:dyDescent="0.2">
      <c r="AD131" t="s">
        <v>286</v>
      </c>
      <c r="AE131" s="29">
        <f>AE130/AE129</f>
        <v>4347.826086956522</v>
      </c>
    </row>
    <row r="133" spans="30:34" x14ac:dyDescent="0.2">
      <c r="AD133" s="5"/>
      <c r="AE133" s="5"/>
      <c r="AF133" s="5" t="s">
        <v>57</v>
      </c>
      <c r="AG133" s="5" t="s">
        <v>58</v>
      </c>
      <c r="AH133" s="5" t="s">
        <v>107</v>
      </c>
    </row>
    <row r="134" spans="30:34" x14ac:dyDescent="0.2">
      <c r="AD134" t="s">
        <v>53</v>
      </c>
      <c r="AE134" s="29">
        <f>AE131</f>
        <v>4347.826086956522</v>
      </c>
      <c r="AF134" s="174">
        <f>AE134/AG134/1000</f>
        <v>0.14302059496567507</v>
      </c>
      <c r="AG134">
        <v>30.4</v>
      </c>
      <c r="AH134" t="s">
        <v>108</v>
      </c>
    </row>
    <row r="135" spans="30:34" x14ac:dyDescent="0.2">
      <c r="AD135" t="s">
        <v>151</v>
      </c>
      <c r="AE135">
        <v>1000</v>
      </c>
      <c r="AF135" s="28"/>
      <c r="AH135" t="s">
        <v>287</v>
      </c>
    </row>
    <row r="136" spans="30:34" x14ac:dyDescent="0.2">
      <c r="AD136" t="s">
        <v>152</v>
      </c>
      <c r="AF136" s="26">
        <f>AE134/AE135</f>
        <v>4.3478260869565224</v>
      </c>
      <c r="AG136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BC53-9389-8548-A02C-1374C10D7454}">
  <dimension ref="B3:I133"/>
  <sheetViews>
    <sheetView topLeftCell="A6" workbookViewId="0">
      <selection activeCell="G10" sqref="G10"/>
    </sheetView>
  </sheetViews>
  <sheetFormatPr baseColWidth="10" defaultRowHeight="16" x14ac:dyDescent="0.2"/>
  <cols>
    <col min="2" max="2" width="30.6640625" customWidth="1"/>
    <col min="3" max="3" width="16" customWidth="1"/>
    <col min="4" max="5" width="16.1640625" customWidth="1"/>
    <col min="7" max="7" width="16.33203125" bestFit="1" customWidth="1"/>
    <col min="8" max="8" width="15" customWidth="1"/>
    <col min="9" max="9" width="47" bestFit="1" customWidth="1"/>
  </cols>
  <sheetData>
    <row r="3" spans="2:9" x14ac:dyDescent="0.2">
      <c r="B3" t="s">
        <v>315</v>
      </c>
      <c r="C3" s="191" t="s">
        <v>267</v>
      </c>
      <c r="D3" s="191" t="s">
        <v>267</v>
      </c>
      <c r="E3" s="2" t="s">
        <v>316</v>
      </c>
      <c r="G3" t="s">
        <v>322</v>
      </c>
    </row>
    <row r="4" spans="2:9" x14ac:dyDescent="0.2">
      <c r="B4" s="5" t="s">
        <v>1</v>
      </c>
      <c r="C4" s="5">
        <v>2023</v>
      </c>
      <c r="D4" s="170">
        <v>2024</v>
      </c>
      <c r="E4" s="5">
        <v>2025</v>
      </c>
      <c r="G4" s="5">
        <v>2025</v>
      </c>
      <c r="H4" t="s">
        <v>107</v>
      </c>
    </row>
    <row r="5" spans="2:9" x14ac:dyDescent="0.2">
      <c r="B5" s="3" t="s">
        <v>249</v>
      </c>
      <c r="C5" s="2">
        <v>84</v>
      </c>
      <c r="D5" s="189"/>
      <c r="E5" s="189"/>
      <c r="G5" s="189">
        <f>C5</f>
        <v>84</v>
      </c>
      <c r="H5" s="193" t="s">
        <v>324</v>
      </c>
    </row>
    <row r="6" spans="2:9" x14ac:dyDescent="0.2">
      <c r="B6" s="3" t="s">
        <v>250</v>
      </c>
      <c r="C6" s="37"/>
      <c r="D6" s="37"/>
      <c r="E6" s="187"/>
      <c r="G6" s="187"/>
    </row>
    <row r="7" spans="2:9" x14ac:dyDescent="0.2">
      <c r="B7" s="3" t="s">
        <v>251</v>
      </c>
      <c r="C7" s="2">
        <v>1196</v>
      </c>
      <c r="D7" s="168"/>
      <c r="E7" s="186">
        <v>1258</v>
      </c>
      <c r="G7" s="30">
        <f>E7</f>
        <v>1258</v>
      </c>
      <c r="H7" t="s">
        <v>259</v>
      </c>
    </row>
    <row r="8" spans="2:9" x14ac:dyDescent="0.2">
      <c r="B8" s="3" t="s">
        <v>16</v>
      </c>
      <c r="C8" s="37"/>
      <c r="D8" s="37"/>
      <c r="E8" s="187"/>
      <c r="G8" s="187"/>
    </row>
    <row r="9" spans="2:9" x14ac:dyDescent="0.2">
      <c r="B9" s="3" t="s">
        <v>252</v>
      </c>
      <c r="C9" s="2">
        <v>1122</v>
      </c>
      <c r="D9" s="2">
        <v>1172</v>
      </c>
      <c r="E9" s="201"/>
      <c r="G9" s="201">
        <f>E9</f>
        <v>0</v>
      </c>
      <c r="H9" s="193" t="s">
        <v>63</v>
      </c>
      <c r="I9" t="s">
        <v>331</v>
      </c>
    </row>
    <row r="10" spans="2:9" x14ac:dyDescent="0.2">
      <c r="B10" s="3" t="s">
        <v>253</v>
      </c>
      <c r="C10" s="2">
        <v>957</v>
      </c>
      <c r="D10" s="189"/>
      <c r="E10" s="189"/>
      <c r="G10" s="189">
        <f>C10</f>
        <v>957</v>
      </c>
      <c r="H10" s="193" t="s">
        <v>324</v>
      </c>
    </row>
    <row r="11" spans="2:9" x14ac:dyDescent="0.2">
      <c r="B11" s="3" t="s">
        <v>33</v>
      </c>
      <c r="C11" s="2">
        <v>417</v>
      </c>
      <c r="D11" s="2">
        <v>423</v>
      </c>
      <c r="E11" s="186">
        <v>427</v>
      </c>
      <c r="G11" s="30">
        <f>E11</f>
        <v>427</v>
      </c>
      <c r="H11" t="s">
        <v>259</v>
      </c>
    </row>
    <row r="12" spans="2:9" x14ac:dyDescent="0.2">
      <c r="B12" s="3" t="s">
        <v>254</v>
      </c>
      <c r="C12" s="37"/>
      <c r="D12" s="37"/>
      <c r="E12" s="187"/>
      <c r="G12" s="187"/>
    </row>
    <row r="13" spans="2:9" x14ac:dyDescent="0.2">
      <c r="B13" s="3" t="s">
        <v>255</v>
      </c>
      <c r="C13" s="2">
        <v>1123</v>
      </c>
      <c r="D13" s="2">
        <v>1138</v>
      </c>
      <c r="E13" s="186">
        <v>1164</v>
      </c>
      <c r="G13" s="30">
        <f>E13</f>
        <v>1164</v>
      </c>
      <c r="H13" t="s">
        <v>259</v>
      </c>
    </row>
    <row r="14" spans="2:9" x14ac:dyDescent="0.2">
      <c r="B14" s="3" t="s">
        <v>256</v>
      </c>
      <c r="C14" s="37"/>
      <c r="D14" s="37"/>
      <c r="E14" s="187"/>
      <c r="G14" s="187"/>
    </row>
    <row r="15" spans="2:9" x14ac:dyDescent="0.2">
      <c r="B15" s="3" t="s">
        <v>257</v>
      </c>
      <c r="C15" s="2">
        <v>1083</v>
      </c>
      <c r="D15" s="2">
        <v>1147</v>
      </c>
      <c r="E15" s="186">
        <v>1183</v>
      </c>
      <c r="G15" s="30">
        <f t="shared" ref="G15:G18" si="0">E15</f>
        <v>1183</v>
      </c>
      <c r="H15" t="s">
        <v>259</v>
      </c>
    </row>
    <row r="16" spans="2:9" x14ac:dyDescent="0.2">
      <c r="B16" s="3" t="s">
        <v>258</v>
      </c>
      <c r="C16" s="2">
        <v>1313</v>
      </c>
      <c r="D16" s="168"/>
      <c r="E16" s="186">
        <v>1341</v>
      </c>
      <c r="G16" s="30">
        <f t="shared" si="0"/>
        <v>1341</v>
      </c>
      <c r="H16" t="s">
        <v>259</v>
      </c>
    </row>
    <row r="17" spans="2:8" x14ac:dyDescent="0.2">
      <c r="B17" s="3" t="s">
        <v>268</v>
      </c>
      <c r="C17" s="2">
        <v>366</v>
      </c>
      <c r="D17" s="168"/>
      <c r="E17" s="186">
        <v>389</v>
      </c>
      <c r="G17" s="30">
        <f t="shared" si="0"/>
        <v>389</v>
      </c>
      <c r="H17" t="s">
        <v>259</v>
      </c>
    </row>
    <row r="18" spans="2:8" s="8" customFormat="1" x14ac:dyDescent="0.2">
      <c r="B18" s="182" t="s">
        <v>317</v>
      </c>
      <c r="C18" s="192"/>
      <c r="D18" s="192"/>
      <c r="E18" s="188">
        <v>223</v>
      </c>
      <c r="G18" s="30">
        <f t="shared" si="0"/>
        <v>223</v>
      </c>
      <c r="H18" t="s">
        <v>259</v>
      </c>
    </row>
    <row r="19" spans="2:8" x14ac:dyDescent="0.2">
      <c r="E19" s="29"/>
    </row>
    <row r="20" spans="2:8" x14ac:dyDescent="0.2">
      <c r="C20" s="155">
        <f t="shared" ref="C20:D20" si="1">SUM(C5:C18)</f>
        <v>7661</v>
      </c>
      <c r="D20" s="155">
        <f t="shared" si="1"/>
        <v>3880</v>
      </c>
      <c r="E20" s="155">
        <f>SUM(E5:E18)</f>
        <v>5985</v>
      </c>
      <c r="G20" s="155">
        <f>SUM(G5:G18)</f>
        <v>7026</v>
      </c>
    </row>
    <row r="23" spans="2:8" x14ac:dyDescent="0.2">
      <c r="B23" t="s">
        <v>318</v>
      </c>
      <c r="C23" s="191" t="s">
        <v>267</v>
      </c>
      <c r="D23" s="191" t="s">
        <v>267</v>
      </c>
      <c r="E23" s="2" t="s">
        <v>316</v>
      </c>
      <c r="G23" s="2" t="s">
        <v>323</v>
      </c>
    </row>
    <row r="24" spans="2:8" x14ac:dyDescent="0.2">
      <c r="B24" s="5" t="s">
        <v>1</v>
      </c>
      <c r="C24" s="5">
        <v>2023</v>
      </c>
      <c r="D24" s="170">
        <v>2024</v>
      </c>
      <c r="E24" s="5">
        <v>2025</v>
      </c>
      <c r="G24" s="5">
        <v>2025</v>
      </c>
      <c r="H24" t="s">
        <v>107</v>
      </c>
    </row>
    <row r="25" spans="2:8" x14ac:dyDescent="0.2">
      <c r="B25" s="3" t="s">
        <v>249</v>
      </c>
      <c r="C25" s="2">
        <v>14</v>
      </c>
      <c r="D25" s="168"/>
      <c r="E25" s="189"/>
      <c r="G25" s="197">
        <f>C25</f>
        <v>14</v>
      </c>
      <c r="H25" s="193" t="s">
        <v>324</v>
      </c>
    </row>
    <row r="26" spans="2:8" x14ac:dyDescent="0.2">
      <c r="B26" s="3" t="s">
        <v>250</v>
      </c>
      <c r="C26" s="37"/>
      <c r="D26" s="37"/>
      <c r="E26" s="187"/>
      <c r="G26" s="187"/>
    </row>
    <row r="27" spans="2:8" x14ac:dyDescent="0.2">
      <c r="B27" s="3" t="s">
        <v>251</v>
      </c>
      <c r="C27" s="2">
        <v>6534</v>
      </c>
      <c r="D27" s="168"/>
      <c r="E27" s="186">
        <v>6752</v>
      </c>
      <c r="G27" s="29">
        <f>E27</f>
        <v>6752</v>
      </c>
      <c r="H27" t="s">
        <v>259</v>
      </c>
    </row>
    <row r="28" spans="2:8" x14ac:dyDescent="0.2">
      <c r="B28" s="3" t="s">
        <v>16</v>
      </c>
      <c r="C28" s="37"/>
      <c r="D28" s="37"/>
      <c r="E28" s="187"/>
      <c r="G28" s="187"/>
    </row>
    <row r="29" spans="2:8" x14ac:dyDescent="0.2">
      <c r="B29" s="3" t="s">
        <v>252</v>
      </c>
      <c r="C29" s="2">
        <v>11563</v>
      </c>
      <c r="D29" s="2">
        <v>13119</v>
      </c>
      <c r="E29" s="199"/>
      <c r="G29" s="200">
        <f>E29</f>
        <v>0</v>
      </c>
      <c r="H29" s="193" t="s">
        <v>63</v>
      </c>
    </row>
    <row r="30" spans="2:8" x14ac:dyDescent="0.2">
      <c r="B30" s="3" t="s">
        <v>253</v>
      </c>
      <c r="C30" s="2">
        <v>14289</v>
      </c>
      <c r="D30" s="168"/>
      <c r="E30" s="189"/>
      <c r="G30" s="197">
        <f>C30</f>
        <v>14289</v>
      </c>
      <c r="H30" s="193" t="s">
        <v>324</v>
      </c>
    </row>
    <row r="31" spans="2:8" x14ac:dyDescent="0.2">
      <c r="B31" s="3" t="s">
        <v>33</v>
      </c>
      <c r="C31" s="2">
        <v>6350</v>
      </c>
      <c r="D31" s="2">
        <v>15394</v>
      </c>
      <c r="E31" s="186">
        <v>7221</v>
      </c>
      <c r="G31" s="29">
        <f>E31</f>
        <v>7221</v>
      </c>
      <c r="H31" t="s">
        <v>259</v>
      </c>
    </row>
    <row r="32" spans="2:8" x14ac:dyDescent="0.2">
      <c r="B32" s="3" t="s">
        <v>254</v>
      </c>
      <c r="C32" s="37"/>
      <c r="D32" s="37"/>
      <c r="E32" s="187"/>
      <c r="G32" s="187"/>
    </row>
    <row r="33" spans="2:8" x14ac:dyDescent="0.2">
      <c r="B33" s="3" t="s">
        <v>255</v>
      </c>
      <c r="C33" s="2">
        <v>7439</v>
      </c>
      <c r="D33" s="2">
        <v>3644</v>
      </c>
      <c r="E33" s="186">
        <v>5961</v>
      </c>
      <c r="G33" s="29">
        <f>E33</f>
        <v>5961</v>
      </c>
      <c r="H33" t="s">
        <v>259</v>
      </c>
    </row>
    <row r="34" spans="2:8" x14ac:dyDescent="0.2">
      <c r="B34" s="3" t="s">
        <v>256</v>
      </c>
      <c r="C34" s="37"/>
      <c r="D34" s="37"/>
      <c r="E34" s="187"/>
      <c r="G34" s="187"/>
    </row>
    <row r="35" spans="2:8" x14ac:dyDescent="0.2">
      <c r="B35" s="3" t="s">
        <v>257</v>
      </c>
      <c r="C35" s="2">
        <v>21517</v>
      </c>
      <c r="D35" s="2">
        <v>12426</v>
      </c>
      <c r="E35" s="186">
        <f>30833</f>
        <v>30833</v>
      </c>
      <c r="G35" s="29">
        <f t="shared" ref="G35:G38" si="2">E35</f>
        <v>30833</v>
      </c>
      <c r="H35" t="s">
        <v>259</v>
      </c>
    </row>
    <row r="36" spans="2:8" x14ac:dyDescent="0.2">
      <c r="B36" s="3" t="s">
        <v>258</v>
      </c>
      <c r="C36" s="2">
        <v>3762</v>
      </c>
      <c r="D36" s="168"/>
      <c r="E36" s="186">
        <v>4686</v>
      </c>
      <c r="G36" s="29">
        <f t="shared" si="2"/>
        <v>4686</v>
      </c>
      <c r="H36" t="s">
        <v>259</v>
      </c>
    </row>
    <row r="37" spans="2:8" x14ac:dyDescent="0.2">
      <c r="B37" s="3" t="s">
        <v>268</v>
      </c>
      <c r="C37" s="2">
        <v>5663</v>
      </c>
      <c r="D37" s="168"/>
      <c r="E37" s="186">
        <v>6787</v>
      </c>
      <c r="G37" s="29">
        <f t="shared" si="2"/>
        <v>6787</v>
      </c>
      <c r="H37" t="s">
        <v>259</v>
      </c>
    </row>
    <row r="38" spans="2:8" x14ac:dyDescent="0.2">
      <c r="B38" s="182" t="s">
        <v>317</v>
      </c>
      <c r="C38" s="192"/>
      <c r="D38" s="192"/>
      <c r="E38" s="188">
        <v>562</v>
      </c>
      <c r="G38" s="29">
        <f t="shared" si="2"/>
        <v>562</v>
      </c>
      <c r="H38" t="s">
        <v>259</v>
      </c>
    </row>
    <row r="39" spans="2:8" x14ac:dyDescent="0.2">
      <c r="E39" s="29"/>
    </row>
    <row r="40" spans="2:8" x14ac:dyDescent="0.2">
      <c r="C40" s="155">
        <f t="shared" ref="C40:D40" si="3">SUM(C25:C38)</f>
        <v>77131</v>
      </c>
      <c r="D40" s="155">
        <f t="shared" si="3"/>
        <v>44583</v>
      </c>
      <c r="E40" s="155">
        <f>SUM(E25:E38)</f>
        <v>62802</v>
      </c>
      <c r="G40" s="155">
        <f>SUM(G25:G38)</f>
        <v>77105</v>
      </c>
    </row>
    <row r="41" spans="2:8" x14ac:dyDescent="0.2">
      <c r="B41" t="s">
        <v>330</v>
      </c>
      <c r="C41" s="198">
        <f>C40/1000/31</f>
        <v>2.4880967741935485</v>
      </c>
      <c r="D41" s="198">
        <f>D40/1000/31</f>
        <v>1.4381612903225807</v>
      </c>
      <c r="E41" s="198">
        <f>E40/1000/31</f>
        <v>2.0258709677419353</v>
      </c>
      <c r="G41" s="198">
        <f>G40/1000/31</f>
        <v>2.4872580645161291</v>
      </c>
    </row>
    <row r="42" spans="2:8" x14ac:dyDescent="0.2">
      <c r="B42" t="s">
        <v>328</v>
      </c>
      <c r="C42" s="155">
        <f>C40*12</f>
        <v>925572</v>
      </c>
      <c r="D42" s="155">
        <f t="shared" ref="D42:G42" si="4">D40*12</f>
        <v>534996</v>
      </c>
      <c r="E42" s="155">
        <f t="shared" si="4"/>
        <v>753624</v>
      </c>
      <c r="G42" s="155">
        <f t="shared" si="4"/>
        <v>925260</v>
      </c>
    </row>
    <row r="44" spans="2:8" x14ac:dyDescent="0.2">
      <c r="C44" s="190">
        <f t="shared" ref="C44:D44" si="5">C40/C20</f>
        <v>10.068006787625636</v>
      </c>
      <c r="D44" s="190">
        <f t="shared" si="5"/>
        <v>11.490463917525773</v>
      </c>
      <c r="E44" s="190">
        <f>E40/E20</f>
        <v>10.493233082706768</v>
      </c>
      <c r="G44" s="190">
        <f>G40/G20</f>
        <v>10.97423854255622</v>
      </c>
    </row>
    <row r="45" spans="2:8" x14ac:dyDescent="0.2">
      <c r="C45" t="s">
        <v>320</v>
      </c>
      <c r="D45" t="s">
        <v>321</v>
      </c>
      <c r="E45" s="2" t="s">
        <v>319</v>
      </c>
      <c r="G45" s="2" t="s">
        <v>327</v>
      </c>
    </row>
    <row r="47" spans="2:8" x14ac:dyDescent="0.2">
      <c r="B47" t="s">
        <v>326</v>
      </c>
      <c r="C47" s="191" t="s">
        <v>267</v>
      </c>
      <c r="D47" s="191" t="s">
        <v>267</v>
      </c>
      <c r="E47" s="2" t="s">
        <v>316</v>
      </c>
      <c r="G47" s="2" t="s">
        <v>323</v>
      </c>
    </row>
    <row r="48" spans="2:8" x14ac:dyDescent="0.2">
      <c r="B48" s="5" t="s">
        <v>1</v>
      </c>
      <c r="C48" s="5">
        <v>2023</v>
      </c>
      <c r="D48" s="170">
        <v>2024</v>
      </c>
      <c r="E48" s="5">
        <v>2025</v>
      </c>
      <c r="G48" s="5">
        <v>2025</v>
      </c>
    </row>
    <row r="49" spans="2:8" x14ac:dyDescent="0.2">
      <c r="B49" s="3" t="s">
        <v>249</v>
      </c>
      <c r="C49" s="183">
        <f>C25/C5</f>
        <v>0.16666666666666666</v>
      </c>
      <c r="D49" s="194" t="e">
        <f t="shared" ref="D49:E49" si="6">D25/D5</f>
        <v>#DIV/0!</v>
      </c>
      <c r="E49" s="194" t="e">
        <f t="shared" si="6"/>
        <v>#DIV/0!</v>
      </c>
      <c r="G49" s="196">
        <f t="shared" ref="G49" si="7">G25/G5</f>
        <v>0.16666666666666666</v>
      </c>
      <c r="H49" s="193" t="s">
        <v>324</v>
      </c>
    </row>
    <row r="50" spans="2:8" x14ac:dyDescent="0.2">
      <c r="B50" s="3" t="s">
        <v>250</v>
      </c>
      <c r="C50" s="184" t="e">
        <f t="shared" ref="C50:E50" si="8">C26/C6</f>
        <v>#DIV/0!</v>
      </c>
      <c r="D50" s="184" t="e">
        <f t="shared" si="8"/>
        <v>#DIV/0!</v>
      </c>
      <c r="E50" s="184" t="e">
        <f t="shared" si="8"/>
        <v>#DIV/0!</v>
      </c>
      <c r="G50" s="184" t="e">
        <f t="shared" ref="G50" si="9">G26/G6</f>
        <v>#DIV/0!</v>
      </c>
    </row>
    <row r="51" spans="2:8" x14ac:dyDescent="0.2">
      <c r="B51" s="3" t="s">
        <v>251</v>
      </c>
      <c r="C51" s="183">
        <f t="shared" ref="C51:E51" si="10">C27/C7</f>
        <v>5.4632107023411374</v>
      </c>
      <c r="D51" s="194" t="e">
        <f t="shared" si="10"/>
        <v>#DIV/0!</v>
      </c>
      <c r="E51" s="183">
        <f t="shared" si="10"/>
        <v>5.36724960254372</v>
      </c>
      <c r="G51" s="26">
        <f t="shared" ref="G51" si="11">G27/G7</f>
        <v>5.36724960254372</v>
      </c>
      <c r="H51" t="s">
        <v>259</v>
      </c>
    </row>
    <row r="52" spans="2:8" x14ac:dyDescent="0.2">
      <c r="B52" s="3" t="s">
        <v>16</v>
      </c>
      <c r="C52" s="184" t="e">
        <f t="shared" ref="C52:E52" si="12">C28/C8</f>
        <v>#DIV/0!</v>
      </c>
      <c r="D52" s="184" t="e">
        <f t="shared" si="12"/>
        <v>#DIV/0!</v>
      </c>
      <c r="E52" s="184" t="e">
        <f t="shared" si="12"/>
        <v>#DIV/0!</v>
      </c>
      <c r="G52" s="184" t="e">
        <f t="shared" ref="G52" si="13">G28/G8</f>
        <v>#DIV/0!</v>
      </c>
    </row>
    <row r="53" spans="2:8" x14ac:dyDescent="0.2">
      <c r="B53" s="3" t="s">
        <v>252</v>
      </c>
      <c r="C53" s="183">
        <f t="shared" ref="C53:E53" si="14">C29/C9</f>
        <v>10.305704099821748</v>
      </c>
      <c r="D53" s="183">
        <f t="shared" si="14"/>
        <v>11.193686006825939</v>
      </c>
      <c r="E53" s="194" t="e">
        <f t="shared" si="14"/>
        <v>#DIV/0!</v>
      </c>
      <c r="G53" s="196" t="e">
        <f t="shared" ref="G53" si="15">G29/G9</f>
        <v>#DIV/0!</v>
      </c>
      <c r="H53" s="193" t="s">
        <v>325</v>
      </c>
    </row>
    <row r="54" spans="2:8" x14ac:dyDescent="0.2">
      <c r="B54" s="3" t="s">
        <v>253</v>
      </c>
      <c r="C54" s="183">
        <f t="shared" ref="C54:E54" si="16">C30/C10</f>
        <v>14.931034482758621</v>
      </c>
      <c r="D54" s="194" t="e">
        <f t="shared" si="16"/>
        <v>#DIV/0!</v>
      </c>
      <c r="E54" s="194" t="e">
        <f t="shared" si="16"/>
        <v>#DIV/0!</v>
      </c>
      <c r="G54" s="196">
        <f t="shared" ref="G54" si="17">G30/G10</f>
        <v>14.931034482758621</v>
      </c>
      <c r="H54" s="193" t="s">
        <v>324</v>
      </c>
    </row>
    <row r="55" spans="2:8" x14ac:dyDescent="0.2">
      <c r="B55" s="3" t="s">
        <v>33</v>
      </c>
      <c r="C55" s="183">
        <f t="shared" ref="C55:E55" si="18">C31/C11</f>
        <v>15.227817745803357</v>
      </c>
      <c r="D55" s="183">
        <f t="shared" si="18"/>
        <v>36.392434988179666</v>
      </c>
      <c r="E55" s="183">
        <f t="shared" si="18"/>
        <v>16.911007025761123</v>
      </c>
      <c r="G55" s="26">
        <f t="shared" ref="G55" si="19">G31/G11</f>
        <v>16.911007025761123</v>
      </c>
      <c r="H55" t="s">
        <v>259</v>
      </c>
    </row>
    <row r="56" spans="2:8" x14ac:dyDescent="0.2">
      <c r="B56" s="3" t="s">
        <v>254</v>
      </c>
      <c r="C56" s="184" t="e">
        <f t="shared" ref="C56:E56" si="20">C32/C12</f>
        <v>#DIV/0!</v>
      </c>
      <c r="D56" s="184" t="e">
        <f t="shared" si="20"/>
        <v>#DIV/0!</v>
      </c>
      <c r="E56" s="184" t="e">
        <f t="shared" si="20"/>
        <v>#DIV/0!</v>
      </c>
      <c r="G56" s="184" t="e">
        <f t="shared" ref="G56" si="21">G32/G12</f>
        <v>#DIV/0!</v>
      </c>
    </row>
    <row r="57" spans="2:8" x14ac:dyDescent="0.2">
      <c r="B57" s="3" t="s">
        <v>255</v>
      </c>
      <c r="C57" s="183">
        <f t="shared" ref="C57:E57" si="22">C33/C13</f>
        <v>6.6242208370436328</v>
      </c>
      <c r="D57" s="183">
        <f t="shared" si="22"/>
        <v>3.2021089630931461</v>
      </c>
      <c r="E57" s="183">
        <f t="shared" si="22"/>
        <v>5.1211340206185563</v>
      </c>
      <c r="G57" s="26">
        <f t="shared" ref="G57" si="23">G33/G13</f>
        <v>5.1211340206185563</v>
      </c>
      <c r="H57" t="s">
        <v>259</v>
      </c>
    </row>
    <row r="58" spans="2:8" x14ac:dyDescent="0.2">
      <c r="B58" s="3" t="s">
        <v>256</v>
      </c>
      <c r="C58" s="184" t="e">
        <f t="shared" ref="C58:E58" si="24">C34/C14</f>
        <v>#DIV/0!</v>
      </c>
      <c r="D58" s="184" t="e">
        <f t="shared" si="24"/>
        <v>#DIV/0!</v>
      </c>
      <c r="E58" s="184" t="e">
        <f t="shared" si="24"/>
        <v>#DIV/0!</v>
      </c>
      <c r="G58" s="184" t="e">
        <f t="shared" ref="G58" si="25">G34/G14</f>
        <v>#DIV/0!</v>
      </c>
    </row>
    <row r="59" spans="2:8" x14ac:dyDescent="0.2">
      <c r="B59" s="3" t="s">
        <v>257</v>
      </c>
      <c r="C59" s="183">
        <f t="shared" ref="C59:E59" si="26">C35/C15</f>
        <v>19.867959372114498</v>
      </c>
      <c r="D59" s="183">
        <f t="shared" si="26"/>
        <v>10.833478639930252</v>
      </c>
      <c r="E59" s="183">
        <f t="shared" si="26"/>
        <v>26.063398140321219</v>
      </c>
      <c r="G59" s="26">
        <f t="shared" ref="G59" si="27">G35/G15</f>
        <v>26.063398140321219</v>
      </c>
      <c r="H59" t="s">
        <v>259</v>
      </c>
    </row>
    <row r="60" spans="2:8" x14ac:dyDescent="0.2">
      <c r="B60" s="3" t="s">
        <v>258</v>
      </c>
      <c r="C60" s="183">
        <f t="shared" ref="C60:E60" si="28">C36/C16</f>
        <v>2.8651942117288653</v>
      </c>
      <c r="D60" s="194" t="e">
        <f t="shared" si="28"/>
        <v>#DIV/0!</v>
      </c>
      <c r="E60" s="183">
        <f t="shared" si="28"/>
        <v>3.494407158836689</v>
      </c>
      <c r="G60" s="26">
        <f t="shared" ref="G60" si="29">G36/G16</f>
        <v>3.494407158836689</v>
      </c>
      <c r="H60" t="s">
        <v>259</v>
      </c>
    </row>
    <row r="61" spans="2:8" x14ac:dyDescent="0.2">
      <c r="B61" s="3" t="s">
        <v>268</v>
      </c>
      <c r="C61" s="183">
        <f t="shared" ref="C61:E61" si="30">C37/C17</f>
        <v>15.472677595628415</v>
      </c>
      <c r="D61" s="194" t="e">
        <f t="shared" si="30"/>
        <v>#DIV/0!</v>
      </c>
      <c r="E61" s="183">
        <f t="shared" si="30"/>
        <v>17.447300771208226</v>
      </c>
      <c r="G61" s="26">
        <f t="shared" ref="G61" si="31">G37/G17</f>
        <v>17.447300771208226</v>
      </c>
      <c r="H61" t="s">
        <v>259</v>
      </c>
    </row>
    <row r="62" spans="2:8" x14ac:dyDescent="0.2">
      <c r="B62" s="182" t="s">
        <v>317</v>
      </c>
      <c r="C62" s="195" t="e">
        <f t="shared" ref="C62:E62" si="32">C38/C18</f>
        <v>#DIV/0!</v>
      </c>
      <c r="D62" s="195" t="e">
        <f t="shared" si="32"/>
        <v>#DIV/0!</v>
      </c>
      <c r="E62" s="185">
        <f t="shared" si="32"/>
        <v>2.5201793721973096</v>
      </c>
      <c r="G62" s="26">
        <f t="shared" ref="G62" si="33">G38/G18</f>
        <v>2.5201793721973096</v>
      </c>
      <c r="H62" t="s">
        <v>259</v>
      </c>
    </row>
    <row r="64" spans="2:8" s="207" customFormat="1" x14ac:dyDescent="0.2"/>
    <row r="65" spans="2:9" x14ac:dyDescent="0.2">
      <c r="B65" t="s">
        <v>332</v>
      </c>
    </row>
    <row r="66" spans="2:9" x14ac:dyDescent="0.2">
      <c r="B66" s="5" t="s">
        <v>1</v>
      </c>
      <c r="C66" s="5" t="s">
        <v>203</v>
      </c>
      <c r="D66" s="5" t="s">
        <v>204</v>
      </c>
      <c r="E66" s="5" t="s">
        <v>269</v>
      </c>
      <c r="F66" s="5" t="s">
        <v>56</v>
      </c>
    </row>
    <row r="67" spans="2:9" x14ac:dyDescent="0.2">
      <c r="B67" s="3" t="s">
        <v>249</v>
      </c>
      <c r="C67" s="187"/>
      <c r="D67" s="187"/>
      <c r="E67" s="187"/>
      <c r="F67" s="187"/>
      <c r="G67" t="s">
        <v>270</v>
      </c>
    </row>
    <row r="68" spans="2:9" x14ac:dyDescent="0.2">
      <c r="B68" s="3" t="s">
        <v>250</v>
      </c>
      <c r="C68" s="187"/>
      <c r="D68" s="187"/>
      <c r="E68" s="187"/>
      <c r="F68" s="187"/>
    </row>
    <row r="69" spans="2:9" x14ac:dyDescent="0.2">
      <c r="B69" s="3" t="s">
        <v>251</v>
      </c>
      <c r="C69" s="186">
        <v>1007</v>
      </c>
      <c r="D69" s="186">
        <f>3</f>
        <v>3</v>
      </c>
      <c r="E69" s="186">
        <f>5</f>
        <v>5</v>
      </c>
      <c r="F69" s="186">
        <f>SUM(C69:E69)</f>
        <v>1015</v>
      </c>
    </row>
    <row r="70" spans="2:9" x14ac:dyDescent="0.2">
      <c r="B70" s="3" t="s">
        <v>16</v>
      </c>
      <c r="C70" s="187"/>
      <c r="D70" s="187"/>
      <c r="E70" s="187"/>
      <c r="F70" s="187"/>
    </row>
    <row r="71" spans="2:9" x14ac:dyDescent="0.2">
      <c r="B71" s="3" t="s">
        <v>252</v>
      </c>
      <c r="C71" s="201">
        <f>C92/D53</f>
        <v>1476.4573519323119</v>
      </c>
      <c r="D71" s="201">
        <v>5</v>
      </c>
      <c r="E71" s="201">
        <v>5</v>
      </c>
      <c r="F71" s="201">
        <f>SUM(C71:E71)</f>
        <v>1486.4573519323119</v>
      </c>
      <c r="G71" t="s">
        <v>339</v>
      </c>
    </row>
    <row r="72" spans="2:9" x14ac:dyDescent="0.2">
      <c r="B72" s="3" t="s">
        <v>253</v>
      </c>
      <c r="C72" s="203">
        <f>C10</f>
        <v>957</v>
      </c>
      <c r="D72" s="203"/>
      <c r="E72" s="203"/>
      <c r="F72" s="203">
        <f t="shared" ref="F72:F73" si="34">SUM(C72:E72)</f>
        <v>957</v>
      </c>
      <c r="G72" t="s">
        <v>347</v>
      </c>
    </row>
    <row r="73" spans="2:9" x14ac:dyDescent="0.2">
      <c r="B73" s="3" t="s">
        <v>33</v>
      </c>
      <c r="C73" s="186">
        <v>341</v>
      </c>
      <c r="D73" s="186">
        <v>2</v>
      </c>
      <c r="E73" s="186">
        <v>7</v>
      </c>
      <c r="F73" s="186">
        <f t="shared" si="34"/>
        <v>350</v>
      </c>
    </row>
    <row r="74" spans="2:9" x14ac:dyDescent="0.2">
      <c r="B74" s="3" t="s">
        <v>254</v>
      </c>
      <c r="C74" s="187"/>
      <c r="D74" s="187"/>
      <c r="E74" s="187"/>
      <c r="F74" s="187"/>
    </row>
    <row r="75" spans="2:9" x14ac:dyDescent="0.2">
      <c r="B75" s="3" t="s">
        <v>255</v>
      </c>
      <c r="C75" s="186">
        <v>760</v>
      </c>
      <c r="D75" s="186">
        <v>0</v>
      </c>
      <c r="E75" s="186">
        <v>2</v>
      </c>
      <c r="F75" s="186">
        <f>SUM(C75:E75)</f>
        <v>762</v>
      </c>
    </row>
    <row r="76" spans="2:9" x14ac:dyDescent="0.2">
      <c r="B76" s="3" t="s">
        <v>256</v>
      </c>
      <c r="C76" s="187"/>
      <c r="D76" s="187"/>
      <c r="E76" s="187"/>
      <c r="F76" s="187"/>
    </row>
    <row r="77" spans="2:9" x14ac:dyDescent="0.2">
      <c r="B77" s="3" t="s">
        <v>257</v>
      </c>
      <c r="C77" s="186">
        <v>1010</v>
      </c>
      <c r="D77" s="186">
        <v>3</v>
      </c>
      <c r="E77" s="186">
        <v>7</v>
      </c>
      <c r="F77" s="186">
        <f t="shared" ref="F77:F79" si="35">SUM(C77:E77)</f>
        <v>1020</v>
      </c>
    </row>
    <row r="78" spans="2:9" x14ac:dyDescent="0.2">
      <c r="B78" s="3" t="s">
        <v>258</v>
      </c>
      <c r="C78" s="186">
        <v>513</v>
      </c>
      <c r="D78" s="186">
        <v>4</v>
      </c>
      <c r="E78" s="186">
        <v>5</v>
      </c>
      <c r="F78" s="186">
        <f t="shared" si="35"/>
        <v>522</v>
      </c>
    </row>
    <row r="79" spans="2:9" x14ac:dyDescent="0.2">
      <c r="B79" s="3" t="s">
        <v>268</v>
      </c>
      <c r="C79" s="186">
        <v>277</v>
      </c>
      <c r="D79" s="186">
        <v>4</v>
      </c>
      <c r="E79" s="186">
        <v>8</v>
      </c>
      <c r="F79" s="186">
        <f t="shared" si="35"/>
        <v>289</v>
      </c>
    </row>
    <row r="80" spans="2:9" x14ac:dyDescent="0.2">
      <c r="B80" s="182" t="s">
        <v>317</v>
      </c>
      <c r="C80" s="29"/>
      <c r="D80" s="29"/>
      <c r="E80" s="29"/>
      <c r="F80" s="29"/>
      <c r="H80" s="211">
        <f>C81/F81</f>
        <v>0.98736735725113689</v>
      </c>
      <c r="I80" t="s">
        <v>271</v>
      </c>
    </row>
    <row r="81" spans="2:9" x14ac:dyDescent="0.2">
      <c r="B81" s="215" t="s">
        <v>336</v>
      </c>
      <c r="C81" s="216">
        <f>SUM(C69,C73,C75,C77,C78,C79)</f>
        <v>3908</v>
      </c>
      <c r="D81" s="216">
        <f t="shared" ref="D81:E81" si="36">SUM(D69,D73,D75,D77,D78,D79)</f>
        <v>16</v>
      </c>
      <c r="E81" s="216">
        <f t="shared" si="36"/>
        <v>34</v>
      </c>
      <c r="F81" s="216">
        <f>SUM(F69,F73,F75,F77,F78,F79)</f>
        <v>3958</v>
      </c>
      <c r="H81" s="212">
        <f>D81/F81</f>
        <v>4.0424456796361802E-3</v>
      </c>
      <c r="I81" t="s">
        <v>345</v>
      </c>
    </row>
    <row r="82" spans="2:9" x14ac:dyDescent="0.2">
      <c r="B82" s="1"/>
      <c r="C82" s="204"/>
      <c r="D82" s="204"/>
      <c r="E82" s="204"/>
      <c r="F82" s="204"/>
      <c r="H82" s="211">
        <f>E81/F81</f>
        <v>8.590197069226882E-3</v>
      </c>
      <c r="I82" t="s">
        <v>346</v>
      </c>
    </row>
    <row r="83" spans="2:9" x14ac:dyDescent="0.2">
      <c r="B83" s="1" t="s">
        <v>337</v>
      </c>
      <c r="C83" s="204">
        <f>C81+C71</f>
        <v>5384.4573519323121</v>
      </c>
      <c r="D83" s="204">
        <f t="shared" ref="D83:F83" si="37">D81+D71</f>
        <v>21</v>
      </c>
      <c r="E83" s="204">
        <f t="shared" si="37"/>
        <v>39</v>
      </c>
      <c r="F83" s="204">
        <f t="shared" si="37"/>
        <v>5444.4573519323121</v>
      </c>
    </row>
    <row r="84" spans="2:9" x14ac:dyDescent="0.2">
      <c r="B84" s="1" t="s">
        <v>384</v>
      </c>
      <c r="C84" s="204">
        <f>SUM(C83,C72,C67)</f>
        <v>6341.4573519323121</v>
      </c>
      <c r="D84" s="204">
        <f t="shared" ref="D84:F84" si="38">SUM(D83,D72,D67)</f>
        <v>21</v>
      </c>
      <c r="E84" s="204">
        <f t="shared" si="38"/>
        <v>39</v>
      </c>
      <c r="F84" s="204">
        <f t="shared" si="38"/>
        <v>6401.4573519323121</v>
      </c>
    </row>
    <row r="86" spans="2:9" x14ac:dyDescent="0.2">
      <c r="B86" t="s">
        <v>333</v>
      </c>
    </row>
    <row r="87" spans="2:9" x14ac:dyDescent="0.2">
      <c r="B87" s="5" t="s">
        <v>1</v>
      </c>
      <c r="C87" s="5" t="s">
        <v>203</v>
      </c>
      <c r="D87" s="5" t="s">
        <v>204</v>
      </c>
      <c r="E87" s="5" t="s">
        <v>269</v>
      </c>
      <c r="F87" s="5" t="s">
        <v>56</v>
      </c>
    </row>
    <row r="88" spans="2:9" x14ac:dyDescent="0.2">
      <c r="B88" s="3" t="s">
        <v>249</v>
      </c>
      <c r="C88" s="187"/>
      <c r="D88" s="187"/>
      <c r="E88" s="187"/>
      <c r="F88" s="187">
        <f>SUM(C88:E88)</f>
        <v>0</v>
      </c>
      <c r="G88" t="s">
        <v>270</v>
      </c>
      <c r="H88" s="30"/>
    </row>
    <row r="89" spans="2:9" x14ac:dyDescent="0.2">
      <c r="B89" s="3" t="s">
        <v>250</v>
      </c>
      <c r="C89" s="187"/>
      <c r="D89" s="187"/>
      <c r="E89" s="187"/>
      <c r="F89" s="187"/>
      <c r="H89" s="30"/>
    </row>
    <row r="90" spans="2:9" x14ac:dyDescent="0.2">
      <c r="B90" s="3" t="s">
        <v>251</v>
      </c>
      <c r="C90" s="186">
        <v>6657</v>
      </c>
      <c r="D90" s="186">
        <v>43</v>
      </c>
      <c r="E90" s="186">
        <v>52</v>
      </c>
      <c r="F90" s="186">
        <f>SUM(C90:E90)</f>
        <v>6752</v>
      </c>
      <c r="H90" s="30"/>
    </row>
    <row r="91" spans="2:9" x14ac:dyDescent="0.2">
      <c r="B91" s="3" t="s">
        <v>16</v>
      </c>
      <c r="C91" s="187"/>
      <c r="D91" s="187"/>
      <c r="E91" s="187"/>
      <c r="F91" s="187"/>
      <c r="H91" s="30"/>
    </row>
    <row r="92" spans="2:9" x14ac:dyDescent="0.2">
      <c r="B92" s="3" t="s">
        <v>252</v>
      </c>
      <c r="C92" s="201">
        <v>16527</v>
      </c>
      <c r="D92" s="201">
        <v>233</v>
      </c>
      <c r="E92" s="201">
        <v>309</v>
      </c>
      <c r="F92" s="201">
        <f>SUM(C92:E92)</f>
        <v>17069</v>
      </c>
      <c r="G92" t="s">
        <v>334</v>
      </c>
      <c r="H92" s="30"/>
    </row>
    <row r="93" spans="2:9" x14ac:dyDescent="0.2">
      <c r="B93" s="3" t="s">
        <v>253</v>
      </c>
      <c r="C93" s="203">
        <f>C30</f>
        <v>14289</v>
      </c>
      <c r="D93" s="203"/>
      <c r="E93" s="203"/>
      <c r="F93" s="203">
        <f t="shared" ref="F93:F94" si="39">SUM(C93:E93)</f>
        <v>14289</v>
      </c>
      <c r="G93" t="s">
        <v>347</v>
      </c>
      <c r="H93" s="30"/>
    </row>
    <row r="94" spans="2:9" x14ac:dyDescent="0.2">
      <c r="B94" s="3" t="s">
        <v>33</v>
      </c>
      <c r="C94" s="186">
        <v>6819</v>
      </c>
      <c r="D94" s="186">
        <v>115</v>
      </c>
      <c r="E94" s="186">
        <v>287</v>
      </c>
      <c r="F94" s="186">
        <f t="shared" si="39"/>
        <v>7221</v>
      </c>
      <c r="H94" s="30"/>
    </row>
    <row r="95" spans="2:9" x14ac:dyDescent="0.2">
      <c r="B95" s="3" t="s">
        <v>254</v>
      </c>
      <c r="C95" s="187"/>
      <c r="D95" s="187"/>
      <c r="E95" s="187"/>
      <c r="F95" s="187"/>
      <c r="H95" s="30"/>
    </row>
    <row r="96" spans="2:9" x14ac:dyDescent="0.2">
      <c r="B96" s="3" t="s">
        <v>255</v>
      </c>
      <c r="C96" s="186">
        <v>5932</v>
      </c>
      <c r="D96" s="186">
        <v>0</v>
      </c>
      <c r="E96" s="186">
        <v>29</v>
      </c>
      <c r="F96" s="186">
        <f>SUM(C96:E96)</f>
        <v>5961</v>
      </c>
      <c r="H96" s="30"/>
    </row>
    <row r="97" spans="2:8" x14ac:dyDescent="0.2">
      <c r="B97" s="3" t="s">
        <v>256</v>
      </c>
      <c r="C97" s="187"/>
      <c r="D97" s="187"/>
      <c r="E97" s="187"/>
      <c r="F97" s="187"/>
      <c r="H97" s="30"/>
    </row>
    <row r="98" spans="2:8" x14ac:dyDescent="0.2">
      <c r="B98" s="3" t="s">
        <v>257</v>
      </c>
      <c r="C98" s="186">
        <v>30264</v>
      </c>
      <c r="D98" s="186">
        <v>224</v>
      </c>
      <c r="E98" s="186">
        <v>345</v>
      </c>
      <c r="F98" s="186">
        <f t="shared" ref="F98:F100" si="40">SUM(C98:E98)</f>
        <v>30833</v>
      </c>
      <c r="H98" s="30"/>
    </row>
    <row r="99" spans="2:8" x14ac:dyDescent="0.2">
      <c r="B99" s="3" t="s">
        <v>258</v>
      </c>
      <c r="C99" s="186">
        <v>4174</v>
      </c>
      <c r="D99" s="186">
        <v>272</v>
      </c>
      <c r="E99" s="186">
        <v>240</v>
      </c>
      <c r="F99" s="186">
        <f t="shared" si="40"/>
        <v>4686</v>
      </c>
      <c r="H99" s="30"/>
    </row>
    <row r="100" spans="2:8" x14ac:dyDescent="0.2">
      <c r="B100" s="3" t="s">
        <v>268</v>
      </c>
      <c r="C100" s="186">
        <v>5876</v>
      </c>
      <c r="D100" s="186">
        <v>128</v>
      </c>
      <c r="E100" s="186">
        <v>783</v>
      </c>
      <c r="F100" s="186">
        <f t="shared" si="40"/>
        <v>6787</v>
      </c>
      <c r="H100" s="30"/>
    </row>
    <row r="101" spans="2:8" x14ac:dyDescent="0.2">
      <c r="B101" s="182" t="s">
        <v>317</v>
      </c>
      <c r="C101" s="29"/>
      <c r="D101" s="29"/>
      <c r="E101" s="29"/>
      <c r="F101" s="29"/>
      <c r="H101" s="30"/>
    </row>
    <row r="102" spans="2:8" x14ac:dyDescent="0.2">
      <c r="B102" s="215" t="s">
        <v>335</v>
      </c>
      <c r="C102" s="216">
        <f>SUM(C90,C94,C96,C98,C99,C100)</f>
        <v>59722</v>
      </c>
      <c r="D102" s="216">
        <f t="shared" ref="D102:F102" si="41">SUM(D90,D94,D96,D98,D99,D100)</f>
        <v>782</v>
      </c>
      <c r="E102" s="216">
        <f t="shared" si="41"/>
        <v>1736</v>
      </c>
      <c r="F102" s="216">
        <f t="shared" si="41"/>
        <v>62240</v>
      </c>
    </row>
    <row r="103" spans="2:8" x14ac:dyDescent="0.2">
      <c r="B103" s="213" t="s">
        <v>330</v>
      </c>
      <c r="C103" s="217">
        <f>C102/1000/31</f>
        <v>1.9265161290322581</v>
      </c>
      <c r="D103" s="217">
        <f t="shared" ref="D103:E103" si="42">D102/1000/31</f>
        <v>2.5225806451612903E-2</v>
      </c>
      <c r="E103" s="217">
        <f t="shared" si="42"/>
        <v>5.6000000000000001E-2</v>
      </c>
      <c r="F103" s="217">
        <f>F102/1000/31</f>
        <v>2.007741935483871</v>
      </c>
    </row>
    <row r="105" spans="2:8" x14ac:dyDescent="0.2">
      <c r="B105" s="1" t="s">
        <v>337</v>
      </c>
      <c r="C105" s="204">
        <f>C102+C92</f>
        <v>76249</v>
      </c>
      <c r="D105" s="204">
        <f t="shared" ref="D105:E105" si="43">D102+D92</f>
        <v>1015</v>
      </c>
      <c r="E105" s="204">
        <f t="shared" si="43"/>
        <v>2045</v>
      </c>
      <c r="F105" s="204">
        <f>F102+F92</f>
        <v>79309</v>
      </c>
    </row>
    <row r="106" spans="2:8" x14ac:dyDescent="0.2">
      <c r="B106" s="1" t="s">
        <v>330</v>
      </c>
      <c r="C106" s="177">
        <f>(C102/1000/31)</f>
        <v>1.9265161290322581</v>
      </c>
      <c r="D106" s="177">
        <f t="shared" ref="D106" si="44">D105/1000/31</f>
        <v>3.2741935483870964E-2</v>
      </c>
      <c r="E106" s="177">
        <f t="shared" ref="E106" si="45">E105/1000/31</f>
        <v>6.5967741935483867E-2</v>
      </c>
      <c r="F106" s="177">
        <f t="shared" ref="F106" si="46">F105/1000/31</f>
        <v>2.5583548387096773</v>
      </c>
    </row>
    <row r="108" spans="2:8" x14ac:dyDescent="0.2">
      <c r="B108" s="1" t="s">
        <v>384</v>
      </c>
      <c r="C108" s="204">
        <f>C105+C93+C88</f>
        <v>90538</v>
      </c>
      <c r="D108" s="204">
        <f t="shared" ref="D108:F108" si="47">D105+D93+D88</f>
        <v>1015</v>
      </c>
      <c r="E108" s="204">
        <f t="shared" si="47"/>
        <v>2045</v>
      </c>
      <c r="F108" s="204">
        <f t="shared" si="47"/>
        <v>93598</v>
      </c>
    </row>
    <row r="109" spans="2:8" x14ac:dyDescent="0.2">
      <c r="B109" s="1" t="s">
        <v>330</v>
      </c>
      <c r="C109" s="177">
        <f>(C105/1000/31)</f>
        <v>2.4596451612903225</v>
      </c>
      <c r="D109" s="177">
        <f t="shared" ref="D109:F109" si="48">D108/1000/31</f>
        <v>3.2741935483870964E-2</v>
      </c>
      <c r="E109" s="177">
        <f t="shared" si="48"/>
        <v>6.5967741935483867E-2</v>
      </c>
      <c r="F109" s="177">
        <f t="shared" si="48"/>
        <v>3.0192903225806451</v>
      </c>
    </row>
    <row r="110" spans="2:8" x14ac:dyDescent="0.2">
      <c r="B110" s="1"/>
      <c r="C110" s="204"/>
      <c r="D110" s="204"/>
      <c r="E110" s="204"/>
      <c r="F110" s="204"/>
    </row>
    <row r="112" spans="2:8" x14ac:dyDescent="0.2">
      <c r="B112" t="s">
        <v>326</v>
      </c>
      <c r="C112" s="191"/>
      <c r="D112" s="191"/>
      <c r="E112" s="2"/>
    </row>
    <row r="113" spans="2:6" x14ac:dyDescent="0.2">
      <c r="B113" s="5" t="s">
        <v>1</v>
      </c>
      <c r="C113" s="5" t="s">
        <v>203</v>
      </c>
      <c r="D113" s="5" t="s">
        <v>204</v>
      </c>
      <c r="E113" s="5" t="s">
        <v>269</v>
      </c>
      <c r="F113" s="5" t="s">
        <v>56</v>
      </c>
    </row>
    <row r="114" spans="2:6" x14ac:dyDescent="0.2">
      <c r="B114" s="3" t="s">
        <v>249</v>
      </c>
      <c r="C114" s="184"/>
      <c r="D114" s="184"/>
      <c r="E114" s="184"/>
      <c r="F114" s="184"/>
    </row>
    <row r="115" spans="2:6" x14ac:dyDescent="0.2">
      <c r="B115" s="3" t="s">
        <v>250</v>
      </c>
      <c r="C115" s="184"/>
      <c r="D115" s="184"/>
      <c r="E115" s="184"/>
      <c r="F115" s="184"/>
    </row>
    <row r="116" spans="2:6" x14ac:dyDescent="0.2">
      <c r="B116" s="3" t="s">
        <v>251</v>
      </c>
      <c r="C116" s="183">
        <f>C90/C69</f>
        <v>6.6107249255213505</v>
      </c>
      <c r="D116" s="183">
        <f>D90/D69</f>
        <v>14.333333333333334</v>
      </c>
      <c r="E116" s="183">
        <f>E90/E69</f>
        <v>10.4</v>
      </c>
      <c r="F116" s="183">
        <f>F90/F69</f>
        <v>6.6522167487684731</v>
      </c>
    </row>
    <row r="117" spans="2:6" x14ac:dyDescent="0.2">
      <c r="B117" s="3" t="s">
        <v>16</v>
      </c>
      <c r="C117" s="184"/>
      <c r="D117" s="184"/>
      <c r="E117" s="184"/>
      <c r="F117" s="184"/>
    </row>
    <row r="118" spans="2:6" x14ac:dyDescent="0.2">
      <c r="B118" s="3" t="s">
        <v>252</v>
      </c>
      <c r="C118" s="206">
        <f t="shared" ref="C118:F120" si="49">C92/C71</f>
        <v>11.193686006825939</v>
      </c>
      <c r="D118" s="206">
        <f t="shared" si="49"/>
        <v>46.6</v>
      </c>
      <c r="E118" s="206">
        <f t="shared" si="49"/>
        <v>61.8</v>
      </c>
      <c r="F118" s="206">
        <f t="shared" si="49"/>
        <v>11.483006880628798</v>
      </c>
    </row>
    <row r="119" spans="2:6" x14ac:dyDescent="0.2">
      <c r="B119" s="3" t="s">
        <v>253</v>
      </c>
      <c r="C119" s="202">
        <f t="shared" si="49"/>
        <v>14.931034482758621</v>
      </c>
      <c r="D119" s="202" t="e">
        <f t="shared" si="49"/>
        <v>#DIV/0!</v>
      </c>
      <c r="E119" s="202" t="e">
        <f t="shared" si="49"/>
        <v>#DIV/0!</v>
      </c>
      <c r="F119" s="202">
        <f t="shared" si="49"/>
        <v>14.931034482758621</v>
      </c>
    </row>
    <row r="120" spans="2:6" x14ac:dyDescent="0.2">
      <c r="B120" s="3" t="s">
        <v>33</v>
      </c>
      <c r="C120" s="183">
        <f t="shared" si="49"/>
        <v>19.997067448680351</v>
      </c>
      <c r="D120" s="183">
        <f t="shared" si="49"/>
        <v>57.5</v>
      </c>
      <c r="E120" s="183">
        <f t="shared" si="49"/>
        <v>41</v>
      </c>
      <c r="F120" s="183">
        <f t="shared" si="49"/>
        <v>20.631428571428572</v>
      </c>
    </row>
    <row r="121" spans="2:6" x14ac:dyDescent="0.2">
      <c r="B121" s="3" t="s">
        <v>254</v>
      </c>
      <c r="C121" s="184"/>
      <c r="D121" s="184"/>
      <c r="E121" s="184"/>
      <c r="F121" s="184"/>
    </row>
    <row r="122" spans="2:6" x14ac:dyDescent="0.2">
      <c r="B122" s="3" t="s">
        <v>255</v>
      </c>
      <c r="C122" s="183">
        <f>C96/C75</f>
        <v>7.8052631578947365</v>
      </c>
      <c r="D122" s="183" t="e">
        <f>D96/D75</f>
        <v>#DIV/0!</v>
      </c>
      <c r="E122" s="183">
        <f>E96/E75</f>
        <v>14.5</v>
      </c>
      <c r="F122" s="183">
        <f>F96/F75</f>
        <v>7.8228346456692917</v>
      </c>
    </row>
    <row r="123" spans="2:6" x14ac:dyDescent="0.2">
      <c r="B123" s="3" t="s">
        <v>256</v>
      </c>
      <c r="C123" s="184"/>
      <c r="D123" s="184"/>
      <c r="E123" s="184"/>
      <c r="F123" s="184"/>
    </row>
    <row r="124" spans="2:6" x14ac:dyDescent="0.2">
      <c r="B124" s="3" t="s">
        <v>257</v>
      </c>
      <c r="C124" s="183">
        <f t="shared" ref="C124:F127" si="50">C98/C77</f>
        <v>29.964356435643566</v>
      </c>
      <c r="D124" s="183">
        <f t="shared" si="50"/>
        <v>74.666666666666671</v>
      </c>
      <c r="E124" s="183">
        <f t="shared" si="50"/>
        <v>49.285714285714285</v>
      </c>
      <c r="F124" s="183">
        <f t="shared" si="50"/>
        <v>30.228431372549018</v>
      </c>
    </row>
    <row r="125" spans="2:6" x14ac:dyDescent="0.2">
      <c r="B125" s="3" t="s">
        <v>258</v>
      </c>
      <c r="C125" s="183">
        <f t="shared" si="50"/>
        <v>8.1364522417153999</v>
      </c>
      <c r="D125" s="183">
        <f t="shared" si="50"/>
        <v>68</v>
      </c>
      <c r="E125" s="183">
        <f t="shared" si="50"/>
        <v>48</v>
      </c>
      <c r="F125" s="183">
        <f t="shared" si="50"/>
        <v>8.9770114942528743</v>
      </c>
    </row>
    <row r="126" spans="2:6" x14ac:dyDescent="0.2">
      <c r="B126" s="3" t="s">
        <v>268</v>
      </c>
      <c r="C126" s="183">
        <f t="shared" si="50"/>
        <v>21.212996389891696</v>
      </c>
      <c r="D126" s="183">
        <f t="shared" si="50"/>
        <v>32</v>
      </c>
      <c r="E126" s="183">
        <f t="shared" si="50"/>
        <v>97.875</v>
      </c>
      <c r="F126" s="183">
        <f t="shared" si="50"/>
        <v>23.484429065743946</v>
      </c>
    </row>
    <row r="127" spans="2:6" x14ac:dyDescent="0.2">
      <c r="B127" s="182" t="s">
        <v>317</v>
      </c>
      <c r="C127" s="26" t="e">
        <f t="shared" si="50"/>
        <v>#DIV/0!</v>
      </c>
      <c r="D127" s="26" t="e">
        <f t="shared" si="50"/>
        <v>#DIV/0!</v>
      </c>
      <c r="E127" s="26" t="e">
        <f t="shared" si="50"/>
        <v>#DIV/0!</v>
      </c>
      <c r="F127" s="26" t="e">
        <f t="shared" si="50"/>
        <v>#DIV/0!</v>
      </c>
    </row>
    <row r="128" spans="2:6" x14ac:dyDescent="0.2">
      <c r="C128" s="177"/>
      <c r="D128" s="177"/>
      <c r="E128" s="177"/>
      <c r="F128" s="177"/>
    </row>
    <row r="129" spans="2:6" x14ac:dyDescent="0.2">
      <c r="B129" s="213" t="s">
        <v>338</v>
      </c>
      <c r="C129" s="214">
        <f>C102/C81</f>
        <v>15.281985670419653</v>
      </c>
      <c r="D129" s="214">
        <f>D102/D81</f>
        <v>48.875</v>
      </c>
      <c r="E129" s="214">
        <f>E102/E81</f>
        <v>51.058823529411768</v>
      </c>
      <c r="F129" s="214">
        <f>F102/F81</f>
        <v>15.72511369378474</v>
      </c>
    </row>
    <row r="131" spans="2:6" x14ac:dyDescent="0.2">
      <c r="B131" t="s">
        <v>340</v>
      </c>
      <c r="C131" s="205">
        <f>C105/C83</f>
        <v>14.160944179943526</v>
      </c>
      <c r="D131" s="205">
        <f>D105/D83</f>
        <v>48.333333333333336</v>
      </c>
      <c r="E131" s="205">
        <f>E105/E83</f>
        <v>52.435897435897438</v>
      </c>
      <c r="F131" s="205">
        <f>F105/F83</f>
        <v>14.566924648946355</v>
      </c>
    </row>
    <row r="133" spans="2:6" x14ac:dyDescent="0.2">
      <c r="B133" t="s">
        <v>385</v>
      </c>
      <c r="C133" s="205">
        <f>C108/C84</f>
        <v>14.277159803402615</v>
      </c>
      <c r="D133" s="205">
        <f t="shared" ref="D133:F133" si="51">D108/D84</f>
        <v>48.333333333333336</v>
      </c>
      <c r="E133" s="205">
        <f t="shared" si="51"/>
        <v>52.435897435897438</v>
      </c>
      <c r="F133" s="205">
        <f t="shared" si="51"/>
        <v>14.621358052435822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Tagbilaran summary</vt:lpstr>
      <vt:lpstr>Panglao summary</vt:lpstr>
      <vt:lpstr>Dauis summary</vt:lpstr>
      <vt:lpstr>Tagbilaran bgy details</vt:lpstr>
      <vt:lpstr>Panglao bgy details</vt:lpstr>
      <vt:lpstr>Albur bgy details</vt:lpstr>
      <vt:lpstr>Albur summary</vt:lpstr>
      <vt:lpstr>Dauis bgy details</vt:lpstr>
      <vt:lpstr>calculations</vt:lpstr>
      <vt:lpstr>dauis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 A. Salazar</dc:creator>
  <cp:lastModifiedBy>Graziel A. Salazar</cp:lastModifiedBy>
  <dcterms:created xsi:type="dcterms:W3CDTF">2025-08-31T01:07:11Z</dcterms:created>
  <dcterms:modified xsi:type="dcterms:W3CDTF">2026-10-02T12:33:59Z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2025-08-31T01:08:55Z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43701eb1-fa32-477a-bf87-240205ffdc63</vt:lpwstr>
  </property>
  <property fmtid="{D5CDD505-2E9C-101B-9397-08002B2CF9AE}" pid="8" name="MSIP_Label_817d4574-7375-4d17-b29c-6e4c6df0fcb0_ContentBits">
    <vt:lpwstr>2</vt:lpwstr>
  </property>
  <property fmtid="{D5CDD505-2E9C-101B-9397-08002B2CF9AE}" pid="9" name="MSIP_Label_817d4574-7375-4d17-b29c-6e4c6df0fcb0_Tag">
    <vt:lpwstr>50, 3, 0, 1</vt:lpwstr>
  </property>
</Properties>
</file>