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jocelynvillamayor/Documents/"/>
    </mc:Choice>
  </mc:AlternateContent>
  <xr:revisionPtr revIDLastSave="0" documentId="13_ncr:1_{54A52B0A-4D1C-D247-826D-7DBF8B4122DD}" xr6:coauthVersionLast="47" xr6:coauthVersionMax="47" xr10:uidLastSave="{00000000-0000-0000-0000-000000000000}"/>
  <bookViews>
    <workbookView xWindow="520" yWindow="740" windowWidth="28080" windowHeight="17320" xr2:uid="{8C071D5A-8BF9-244E-8569-2D13965F39A7}"/>
  </bookViews>
  <sheets>
    <sheet name="GUIDE SHEET" sheetId="2" r:id="rId1"/>
    <sheet name="BOHOL DEMAND PROJECTION" sheetId="8" r:id="rId2"/>
    <sheet name="Tagbilaran CAPEX&amp;OPEX_realistic" sheetId="1" r:id="rId3"/>
    <sheet name="INPUT DATA  Assumptions" sheetId="3" r:id="rId4"/>
    <sheet name="OPEX" sheetId="4" r:id="rId5"/>
    <sheet name="DEPRCTN SCHED" sheetId="6" r:id="rId6"/>
    <sheet name="AMORT SCHED" sheetId="7" r:id="rId7"/>
    <sheet name="TARIFF CALC" sheetId="5" r:id="rId8"/>
    <sheet name="FORMULA" sheetId="10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</externalReferences>
  <definedNames>
    <definedName name="___________GIP100">[1]library!$D$218</definedName>
    <definedName name="__________GIP100">[1]library!$D$218</definedName>
    <definedName name="_________GIP100">[1]library!$D$218</definedName>
    <definedName name="________GIP100">[1]library!$D$218</definedName>
    <definedName name="________zl152" localSheetId="1">#REF!</definedName>
    <definedName name="________zl152">#REF!</definedName>
    <definedName name="_______GIP100">[1]library!$D$218</definedName>
    <definedName name="______GIP100">[1]library!$D$218</definedName>
    <definedName name="_____GIP100">[1]library!$D$218</definedName>
    <definedName name="____GIP100">[1]library!$D$218</definedName>
    <definedName name="____HPC8" localSheetId="1">#REF!</definedName>
    <definedName name="____HPC8">#REF!</definedName>
    <definedName name="____TAR20" localSheetId="1">#REF!</definedName>
    <definedName name="____TAR20">#REF!</definedName>
    <definedName name="___GIP100">[1]library!$D$218</definedName>
    <definedName name="___HPC8" localSheetId="1">#REF!</definedName>
    <definedName name="___HPC8">#REF!</definedName>
    <definedName name="___TAR20" localSheetId="1">#REF!</definedName>
    <definedName name="___TAR20">#REF!</definedName>
    <definedName name="__123Graph_B" localSheetId="1">'[2]CProy laba rugi'!#REF!</definedName>
    <definedName name="__123Graph_B">'[3]CProy laba rugi'!#REF!</definedName>
    <definedName name="__123Graph_X" localSheetId="1">'[4]CProy laba rugi'!#REF!</definedName>
    <definedName name="__123Graph_X">'[5]CProy laba rugi'!#REF!</definedName>
    <definedName name="__FDS_HYPERLINK_TOGGLE_STATE__">"ON"</definedName>
    <definedName name="__GIP100">[1]library!$D$218</definedName>
    <definedName name="__HPC8" localSheetId="1">#REF!</definedName>
    <definedName name="__HPC8">#REF!</definedName>
    <definedName name="__TAR20" localSheetId="1">#REF!</definedName>
    <definedName name="__TAR20">#REF!</definedName>
    <definedName name="_1Excel_BuiltIn_Print_Area_2" localSheetId="1">#REF!</definedName>
    <definedName name="_1Excel_BuiltIn_Print_Area_2">#REF!</definedName>
    <definedName name="_2Excel_BuiltIn_Print_Area_2" localSheetId="1">#REF!</definedName>
    <definedName name="_2Excel_BuiltIn_Print_Area_2">#REF!</definedName>
    <definedName name="_4Excel_BuiltIn_Print_Area_2" localSheetId="1">#REF!</definedName>
    <definedName name="_4Excel_BuiltIn_Print_Area_2">#REF!</definedName>
    <definedName name="_910A" localSheetId="1">#REF!</definedName>
    <definedName name="_910A">#REF!</definedName>
    <definedName name="_91A" localSheetId="1">#REF!</definedName>
    <definedName name="_91A">#REF!</definedName>
    <definedName name="_92A" localSheetId="1">#REF!</definedName>
    <definedName name="_92A">#REF!</definedName>
    <definedName name="_93A" localSheetId="1">#REF!</definedName>
    <definedName name="_93A">#REF!</definedName>
    <definedName name="_94A" localSheetId="1">#REF!</definedName>
    <definedName name="_94A">#REF!</definedName>
    <definedName name="_95A" localSheetId="1">#REF!</definedName>
    <definedName name="_95A">#REF!</definedName>
    <definedName name="_96A" localSheetId="1">#REF!</definedName>
    <definedName name="_96A">#REF!</definedName>
    <definedName name="_97AA" localSheetId="1">#REF!</definedName>
    <definedName name="_97AA">#REF!</definedName>
    <definedName name="_98A" localSheetId="1">#REF!</definedName>
    <definedName name="_98A">#REF!</definedName>
    <definedName name="_99A" localSheetId="1">#REF!</definedName>
    <definedName name="_99A">#REF!</definedName>
    <definedName name="_99B" localSheetId="1">#REF!</definedName>
    <definedName name="_99B">#REF!</definedName>
    <definedName name="_Fill" localSheetId="1" hidden="1">#REF!</definedName>
    <definedName name="_Fill" hidden="1">#REF!</definedName>
    <definedName name="_GIP100">[1]library!$D$218</definedName>
    <definedName name="_HPC8" localSheetId="1">#REF!</definedName>
    <definedName name="_HPC8">#REF!</definedName>
    <definedName name="_Order1">0</definedName>
    <definedName name="_Table1_In1" localSheetId="1">#REF!</definedName>
    <definedName name="_Table1_In1">#REF!</definedName>
    <definedName name="_Table1_Out" localSheetId="1">#REF!</definedName>
    <definedName name="_Table1_Out">#REF!</definedName>
    <definedName name="_Table2_In1" localSheetId="1">#REF!</definedName>
    <definedName name="_Table2_In1">#REF!</definedName>
    <definedName name="_Table2_In2" localSheetId="1">#REF!</definedName>
    <definedName name="_Table2_In2">#REF!</definedName>
    <definedName name="_Table2_Out" localSheetId="1">#REF!</definedName>
    <definedName name="_Table2_Out">#REF!</definedName>
    <definedName name="_TAR20" localSheetId="1">#REF!</definedName>
    <definedName name="_TAR20">#REF!</definedName>
    <definedName name="\a" localSheetId="1">#REF!</definedName>
    <definedName name="\a">#REF!</definedName>
    <definedName name="\C" localSheetId="1">#REF!</definedName>
    <definedName name="\C">#REF!</definedName>
    <definedName name="\p" localSheetId="1">#REF!</definedName>
    <definedName name="\p">#REF!</definedName>
    <definedName name="A" localSheetId="1">#REF!</definedName>
    <definedName name="A">#REF!</definedName>
    <definedName name="A_Control" localSheetId="1">#REF!</definedName>
    <definedName name="A_Control">#REF!</definedName>
    <definedName name="A_Indicators" localSheetId="1">#REF!</definedName>
    <definedName name="A_Indicators">#REF!</definedName>
    <definedName name="AAA_DOCTOPS">"AAA_SET"</definedName>
    <definedName name="AAA_duser">"OFF"</definedName>
    <definedName name="AAB_Addin5">"AAB_Description for addin 5,Description for addin 5,Description for addin 5,Description for addin 5,Description for addin 5,Description for addin 5"</definedName>
    <definedName name="AAB_GSPPG">"AAB_Goldman Sachs PPG Chart Utilities 1.0g"</definedName>
    <definedName name="ADB_OCR" localSheetId="1">#REF!</definedName>
    <definedName name="ADB_OCR">#REF!</definedName>
    <definedName name="Advanced" localSheetId="1">#REF!</definedName>
    <definedName name="Advanced">#REF!</definedName>
    <definedName name="AETypeLong">[6]AEType!$A$2:$A$11</definedName>
    <definedName name="AFD" localSheetId="1">#REF!</definedName>
    <definedName name="AFD">#REF!</definedName>
    <definedName name="AJHFkjDGHF" localSheetId="1">{"Annual_Income",#N/A,FALSE,"Report Page";"Balance_Cash_Flow",#N/A,FALSE,"Report Page";"Quarterly_Income",#N/A,FALSE,"Report Page"}</definedName>
    <definedName name="AJHFkjDGHF" localSheetId="2">{"Annual_Income",#N/A,FALSE,"Report Page";"Balance_Cash_Flow",#N/A,FALSE,"Report Page";"Quarterly_Income",#N/A,FALSE,"Report Page"}</definedName>
    <definedName name="AJHFkjDGHF">{"Annual_Income",#N/A,FALSE,"Report Page";"Balance_Cash_Flow",#N/A,FALSE,"Report Page";"Quarterly_Income",#N/A,FALSE,"Report Page"}</definedName>
    <definedName name="ALT" localSheetId="1">#REF!</definedName>
    <definedName name="ALT">#REF!</definedName>
    <definedName name="ANS" localSheetId="1">#REF!</definedName>
    <definedName name="ANS">#REF!</definedName>
    <definedName name="anscount">1</definedName>
    <definedName name="AS2DocOpenMode">"AS2DocumentEdit"</definedName>
    <definedName name="asdf" localSheetId="1">#REF!</definedName>
    <definedName name="asdf">#REF!</definedName>
    <definedName name="ASSET" localSheetId="1">#REF!</definedName>
    <definedName name="ASSET">#REF!</definedName>
    <definedName name="ax" localSheetId="1">#REF!</definedName>
    <definedName name="ax">#REF!</definedName>
    <definedName name="b">[7]PAS!#REF!</definedName>
    <definedName name="B_Income_Statement" localSheetId="1">#REF!</definedName>
    <definedName name="B_Income_Statement">#REF!</definedName>
    <definedName name="b532B408" localSheetId="1">#REF!</definedName>
    <definedName name="b532B408">#REF!</definedName>
    <definedName name="BALSHT" localSheetId="1">#REF!</definedName>
    <definedName name="BALSHT">#REF!</definedName>
    <definedName name="Bara" localSheetId="1">#REF!</definedName>
    <definedName name="Bara">#REF!</definedName>
    <definedName name="Barangay" localSheetId="1">#REF!</definedName>
    <definedName name="Barangay">#REF!</definedName>
    <definedName name="Base_Cost" localSheetId="1">#REF!</definedName>
    <definedName name="Base_Cost">#REF!</definedName>
    <definedName name="Basenterprise" localSheetId="1">#REF!</definedName>
    <definedName name="Basenterprise">#REF!</definedName>
    <definedName name="baseyr" localSheetId="1">[8]input!$R$5</definedName>
    <definedName name="baseyr">[9]input!$R$5</definedName>
    <definedName name="BASIC_DATA" localSheetId="1">#REF!</definedName>
    <definedName name="BASIC_DATA">#REF!</definedName>
    <definedName name="Baswmacash" localSheetId="1">#REF!</definedName>
    <definedName name="Baswmacash">#REF!</definedName>
    <definedName name="Baswmakind" localSheetId="1">#REF!</definedName>
    <definedName name="Baswmakind">#REF!</definedName>
    <definedName name="Baswmaloan" localSheetId="1">#REF!</definedName>
    <definedName name="Baswmaloan">#REF!</definedName>
    <definedName name="Baswmamax" localSheetId="1">#REF!</definedName>
    <definedName name="Baswmamax">#REF!</definedName>
    <definedName name="Bauang" localSheetId="1">#REF!</definedName>
    <definedName name="Bauang">#REF!</definedName>
    <definedName name="Beg_Bal" localSheetId="1">#REF!</definedName>
    <definedName name="Beg_Bal">#REF!</definedName>
    <definedName name="Bid_Form_SPL_Revised1" localSheetId="1">#REF!</definedName>
    <definedName name="Bid_Form_SPL_Revised1">#REF!</definedName>
    <definedName name="BS" localSheetId="1">#REF!</definedName>
    <definedName name="BS">#REF!</definedName>
    <definedName name="C_" localSheetId="1">#REF!</definedName>
    <definedName name="C_">#REF!</definedName>
    <definedName name="c_endyr" localSheetId="1">[8]input!$R$8</definedName>
    <definedName name="c_endyr">[9]input!$R$8</definedName>
    <definedName name="C_Flow_of_Funds" localSheetId="1">#REF!</definedName>
    <definedName name="C_Flow_of_Funds">#REF!</definedName>
    <definedName name="CAP" localSheetId="1">#REF!</definedName>
    <definedName name="CAP">#REF!</definedName>
    <definedName name="CAP_EXPEND" localSheetId="1">#REF!</definedName>
    <definedName name="CAP_EXPEND">#REF!</definedName>
    <definedName name="Capex_Stage1_nom" localSheetId="1">'[10]Rev&amp;Cost'!$I$84</definedName>
    <definedName name="Capex_Stage1_nom">'[11]Rev&amp;Cost'!$I$84</definedName>
    <definedName name="Capex_Stage2_nom" localSheetId="1">'[10]Rev&amp;Cost'!$I$88</definedName>
    <definedName name="Capex_Stage2_nom">'[11]Rev&amp;Cost'!$I$88</definedName>
    <definedName name="CAR" localSheetId="1">#REF!</definedName>
    <definedName name="CAR">#REF!</definedName>
    <definedName name="carp">[1]library!$D$5</definedName>
    <definedName name="cash" localSheetId="1">'[12]Financial statements'!$D$60</definedName>
    <definedName name="cash">'[13]Financial statements'!$D$60</definedName>
    <definedName name="cat_code" localSheetId="1">#REF!</definedName>
    <definedName name="cat_code">#REF!</definedName>
    <definedName name="Category_list" localSheetId="1">#REF!</definedName>
    <definedName name="Category_list">#REF!</definedName>
    <definedName name="CFWSMT" localSheetId="1">#REF!</definedName>
    <definedName name="CFWSMT">#REF!</definedName>
    <definedName name="ChangeRange">#N/A</definedName>
    <definedName name="CHKPAS">[7]PAS!#REF!</definedName>
    <definedName name="CHKSAVE">[7]PAS!#REF!</definedName>
    <definedName name="CHOICE1" localSheetId="1">#REF!</definedName>
    <definedName name="CHOICE1">#REF!</definedName>
    <definedName name="CHOICE2" localSheetId="1">#REF!</definedName>
    <definedName name="CHOICE2">#REF!</definedName>
    <definedName name="Co_Name">'[14]Input Page'!$D$4</definedName>
    <definedName name="comch1" localSheetId="1">'[12]Working quarter'!$D$224</definedName>
    <definedName name="comch1">'[13]Working quarter'!$D$224</definedName>
    <definedName name="comch2" localSheetId="1">'[12]Working quarter'!$D$295</definedName>
    <definedName name="comch2">'[13]Working quarter'!$D$295</definedName>
    <definedName name="comch3" localSheetId="1">'[12]Working quarter'!$D$366</definedName>
    <definedName name="comch3">'[13]Working quarter'!$D$366</definedName>
    <definedName name="Company" localSheetId="1">#REF!</definedName>
    <definedName name="Company">#REF!</definedName>
    <definedName name="conduit">[15]Analysis!$M$23</definedName>
    <definedName name="CONNECTION_FEE" localSheetId="1">#REF!</definedName>
    <definedName name="CONNECTION_FEE">#REF!</definedName>
    <definedName name="Const_months" localSheetId="1">[10]Assumptions!$C$30</definedName>
    <definedName name="Const_months">[11]Assumptions!$C$30</definedName>
    <definedName name="CONT" localSheetId="1">#REF!</definedName>
    <definedName name="CONT">#REF!</definedName>
    <definedName name="ContentsHelp">#N/A</definedName>
    <definedName name="Corporate_tax_rate_Gaza" localSheetId="1">#REF!</definedName>
    <definedName name="Corporate_tax_rate_Gaza">#REF!</definedName>
    <definedName name="Cost_equity" localSheetId="1">[10]Assumptions!$C$14</definedName>
    <definedName name="Cost_equity">[11]Assumptions!$C$14</definedName>
    <definedName name="cr" localSheetId="1">[12]Output!$D$47</definedName>
    <definedName name="cr">[13]Output!$D$47</definedName>
    <definedName name="CreateTable">#N/A</definedName>
    <definedName name="Cum_Int" localSheetId="1">#REF!</definedName>
    <definedName name="Cum_Int">#REF!</definedName>
    <definedName name="Current_Inflation" localSheetId="1">#REF!</definedName>
    <definedName name="Current_Inflation">#REF!</definedName>
    <definedName name="D_Balance_Sheet" localSheetId="1">#REF!</definedName>
    <definedName name="D_Balance_Sheet">#REF!</definedName>
    <definedName name="D.BillMat" localSheetId="1">#REF!</definedName>
    <definedName name="D.BillMat">#REF!</definedName>
    <definedName name="DAE4Month">[6]DAE4!$F$4</definedName>
    <definedName name="DAE4MonthString">[6]DAE4!$F$3</definedName>
    <definedName name="DAE4Province">[6]DAE4!$D$6</definedName>
    <definedName name="DAE4Year">[6]DAE4!$H$3</definedName>
    <definedName name="Data" localSheetId="1">#REF!</definedName>
    <definedName name="Data">#REF!</definedName>
    <definedName name="_xlnm.Database" localSheetId="1">#REF!</definedName>
    <definedName name="_xlnm.Database">#REF!</definedName>
    <definedName name="Database_MI" localSheetId="1">#REF!</definedName>
    <definedName name="Database_MI">#REF!</definedName>
    <definedName name="DB" localSheetId="1">#REF!</definedName>
    <definedName name="DB">#REF!</definedName>
    <definedName name="DCEF" localSheetId="1">'[16]PAM Tables'!$A$60:$K$71</definedName>
    <definedName name="DCEF">'[17]PAM Tables'!$A$60:$K$71</definedName>
    <definedName name="DCRMN" localSheetId="1">#REF!</definedName>
    <definedName name="DCRMN">#REF!</definedName>
    <definedName name="DCRMX" localSheetId="1">#REF!</definedName>
    <definedName name="DCRMX">#REF!</definedName>
    <definedName name="DCRO" localSheetId="1">#REF!</definedName>
    <definedName name="DCRO">#REF!</definedName>
    <definedName name="DCRS" localSheetId="1">#REF!</definedName>
    <definedName name="DCRS">#REF!</definedName>
    <definedName name="debt" localSheetId="1">#REF!</definedName>
    <definedName name="debt">#REF!</definedName>
    <definedName name="DEBT_ANALYSIS" localSheetId="1">#REF!</definedName>
    <definedName name="DEBT_ANALYSIS">#REF!</definedName>
    <definedName name="Debt_perc" localSheetId="1">[10]Assumptions!$C$9</definedName>
    <definedName name="Debt_perc">[11]Assumptions!$C$9</definedName>
    <definedName name="Debt_Ratio" localSheetId="1">#REF!</definedName>
    <definedName name="Debt_Ratio">#REF!</definedName>
    <definedName name="DEBT_SUMMARY" localSheetId="1">#REF!</definedName>
    <definedName name="DEBT_SUMMARY">#REF!</definedName>
    <definedName name="DEC" localSheetId="1">#REF!</definedName>
    <definedName name="DEC">#REF!</definedName>
    <definedName name="DeleteRange">#N/A</definedName>
    <definedName name="DeleteTable">#N/A</definedName>
    <definedName name="DEMAND_FORE" localSheetId="1">#REF!</definedName>
    <definedName name="DEMAND_FORE">#REF!</definedName>
    <definedName name="DEMAX" localSheetId="1">#REF!</definedName>
    <definedName name="DEMAX">#REF!</definedName>
    <definedName name="DEMIN" localSheetId="1">#REF!</definedName>
    <definedName name="DEMIN">#REF!</definedName>
    <definedName name="Depreciation" localSheetId="1">[10]Assumptions!$C$22</definedName>
    <definedName name="Depreciation">[11]Assumptions!$C$22</definedName>
    <definedName name="device">[15]Analysis!$M$25</definedName>
    <definedName name="dfa" localSheetId="1">{"Annual_Income",#N/A,FALSE,"Report Page";"Balance_Cash_Flow",#N/A,FALSE,"Report Page";"Quarterly_Income",#N/A,FALSE,"Report Page"}</definedName>
    <definedName name="dfa" localSheetId="2">{"Annual_Income",#N/A,FALSE,"Report Page";"Balance_Cash_Flow",#N/A,FALSE,"Report Page";"Quarterly_Income",#N/A,FALSE,"Report Page"}</definedName>
    <definedName name="dfa">{"Annual_Income",#N/A,FALSE,"Report Page";"Balance_Cash_Flow",#N/A,FALSE,"Report Page";"Quarterly_Income",#N/A,FALSE,"Report Page"}</definedName>
    <definedName name="dfdf" localSheetId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df" localSheetId="2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df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k" localSheetId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k" localSheetId="2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k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" localSheetId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" localSheetId="2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iscount_Rate" localSheetId="1">#REF!</definedName>
    <definedName name="Discount_Rate">#REF!</definedName>
    <definedName name="Dorm" localSheetId="1">#REF!</definedName>
    <definedName name="Dorm">#REF!</definedName>
    <definedName name="DRIVE" localSheetId="1">#REF!</definedName>
    <definedName name="DRIVE">#REF!</definedName>
    <definedName name="DSA" localSheetId="1">#REF!</definedName>
    <definedName name="DSA">#REF!</definedName>
    <definedName name="E_Long_Term_Loans" localSheetId="1">#REF!</definedName>
    <definedName name="E_Long_Term_Loans">#REF!</definedName>
    <definedName name="eidel" localSheetId="1">#REF!</definedName>
    <definedName name="eidel">#REF!</definedName>
    <definedName name="EIGHT" localSheetId="1">#REF!</definedName>
    <definedName name="EIGHT">#REF!</definedName>
    <definedName name="ELF">[1]library!$D$52</definedName>
    <definedName name="em" localSheetId="1">[18]library!$D$103</definedName>
    <definedName name="em">[19]library!$D$103</definedName>
    <definedName name="End_Bal" localSheetId="1">#REF!</definedName>
    <definedName name="End_Bal">#REF!</definedName>
    <definedName name="ENV_RES" localSheetId="1">#REF!</definedName>
    <definedName name="ENV_RES">#REF!</definedName>
    <definedName name="Environment" localSheetId="1">#REF!</definedName>
    <definedName name="Environment">#REF!</definedName>
    <definedName name="EQ_DISC" localSheetId="1">#REF!</definedName>
    <definedName name="EQ_DISC">#REF!</definedName>
    <definedName name="Eqmax" localSheetId="1">#REF!</definedName>
    <definedName name="Eqmax">#REF!</definedName>
    <definedName name="Equipment_perc" localSheetId="1">[20]Component1!$P$14</definedName>
    <definedName name="Equipment_perc">[21]Component1!$P$14</definedName>
    <definedName name="EQUITY" localSheetId="1">[22]MAIN!$D$15</definedName>
    <definedName name="EQUITY">[23]MAIN!$D$15</definedName>
    <definedName name="Equity_Govt" localSheetId="1">#REF!</definedName>
    <definedName name="Equity_Govt">#REF!</definedName>
    <definedName name="Equity_perc" localSheetId="1">[10]Assumptions!$C$10</definedName>
    <definedName name="Equity_perc">[11]Assumptions!$C$10</definedName>
    <definedName name="Equity_Percent" localSheetId="1">'[16]Financing Plan'!$K$47</definedName>
    <definedName name="Equity_Percent">'[17]Financing Plan'!$K$47</definedName>
    <definedName name="Equity_Ratio" localSheetId="1">#REF!</definedName>
    <definedName name="Equity_Ratio">#REF!</definedName>
    <definedName name="equity1" localSheetId="1">#REF!</definedName>
    <definedName name="equity1">#REF!</definedName>
    <definedName name="ERR_LOC">[7]PAS!#REF!</definedName>
    <definedName name="ERR_MSG">[7]PAS!#REF!</definedName>
    <definedName name="ERROR" localSheetId="1">#REF!</definedName>
    <definedName name="ERROR">#REF!</definedName>
    <definedName name="ev.Calculation">-4135</definedName>
    <definedName name="ev.Initialized">FALSE</definedName>
    <definedName name="EWM">[1]library!$D$103</definedName>
    <definedName name="Excel_BuiltIn_Print_Area_7" localSheetId="1">[24]restrukturisasi!#REF!</definedName>
    <definedName name="Excel_BuiltIn_Print_Area_7">[25]restrukturisasi!#REF!</definedName>
    <definedName name="Extra_Pay" localSheetId="1">#REF!</definedName>
    <definedName name="Extra_Pay">#REF!</definedName>
    <definedName name="F" localSheetId="1">{#N/A,#N/A,FALSE,"Report Print"}</definedName>
    <definedName name="F" localSheetId="2">{#N/A,#N/A,FALSE,"Report Print"}</definedName>
    <definedName name="F">{#N/A,#N/A,FALSE,"Report Print"}</definedName>
    <definedName name="F_Financing_Plan" localSheetId="1">#REF!</definedName>
    <definedName name="F_Financing_Plan">#REF!</definedName>
    <definedName name="FACTOR" localSheetId="1">#REF!</definedName>
    <definedName name="FACTOR">#REF!</definedName>
    <definedName name="factor1" localSheetId="1">#REF!</definedName>
    <definedName name="factor1">#REF!</definedName>
    <definedName name="factor2" localSheetId="1">#REF!</definedName>
    <definedName name="factor2">#REF!</definedName>
    <definedName name="factor3" localSheetId="1">#REF!</definedName>
    <definedName name="factor3">#REF!</definedName>
    <definedName name="factor4" localSheetId="1">#REF!</definedName>
    <definedName name="factor4">#REF!</definedName>
    <definedName name="fd" localSheetId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d" localSheetId="2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d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dgsthwsrtujey" localSheetId="1">#REF!</definedName>
    <definedName name="fdgsthwsrtujey">#REF!</definedName>
    <definedName name="FF" localSheetId="1">#REF!</definedName>
    <definedName name="FF">#REF!</definedName>
    <definedName name="FILE" localSheetId="1">#REF!</definedName>
    <definedName name="FILE">#REF!</definedName>
    <definedName name="FILENAME">[7]PAS!#REF!</definedName>
    <definedName name="Fin_Table" localSheetId="1">'[16]PAM Tables'!$A$60:$K$71</definedName>
    <definedName name="Fin_Table">'[17]PAM Tables'!$A$60:$K$71</definedName>
    <definedName name="FINANCING_PLAN" localSheetId="1">#REF!</definedName>
    <definedName name="FINANCING_PLAN">#REF!</definedName>
    <definedName name="FIVE" localSheetId="1">#REF!</definedName>
    <definedName name="FIVE">#REF!</definedName>
    <definedName name="fixture">[15]Analysis!$M$24</definedName>
    <definedName name="flag3" localSheetId="1">'[12]Financial statements'!$D$6</definedName>
    <definedName name="flag3">'[13]Financial statements'!$D$6</definedName>
    <definedName name="Flagcase" localSheetId="1">#REF!</definedName>
    <definedName name="Flagcase">#REF!</definedName>
    <definedName name="Flagcaseno" localSheetId="1">#REF!</definedName>
    <definedName name="Flagcaseno">#REF!</definedName>
    <definedName name="Flagreplace" localSheetId="1">#REF!</definedName>
    <definedName name="Flagreplace">#REF!</definedName>
    <definedName name="Flagreplaceno" localSheetId="1">#REF!</definedName>
    <definedName name="Flagreplaceno">#REF!</definedName>
    <definedName name="FLOPDIR">[7]PAS!#REF!</definedName>
    <definedName name="FLOPPY">[7]PAS!#REF!</definedName>
    <definedName name="fm">[1]library!$D$3</definedName>
    <definedName name="foreign_cost" localSheetId="1">[20]Component1!$P$13</definedName>
    <definedName name="foreign_cost">[21]Component1!$P$13</definedName>
    <definedName name="FOREX" localSheetId="1">#REF!</definedName>
    <definedName name="FOREX">#REF!</definedName>
    <definedName name="forex1" localSheetId="1">'[12]Working quarter'!$D$431</definedName>
    <definedName name="forex1">'[13]Working quarter'!$D$431</definedName>
    <definedName name="forex2" localSheetId="1">'[12]Working quarter'!$D$432</definedName>
    <definedName name="forex2">'[13]Working quarter'!$D$432</definedName>
    <definedName name="forex3" localSheetId="1">'[12]Working quarter'!$D$433</definedName>
    <definedName name="forex3">'[13]Working quarter'!$D$433</definedName>
    <definedName name="FOUR" localSheetId="1">#REF!</definedName>
    <definedName name="FOUR">#REF!</definedName>
    <definedName name="FP" localSheetId="1">#REF!</definedName>
    <definedName name="FP">#REF!</definedName>
    <definedName name="FSoPacific" localSheetId="1">{"BS",#N/A,FALSE,"USA"}</definedName>
    <definedName name="FSoPacific" localSheetId="2">{"BS",#N/A,FALSE,"USA"}</definedName>
    <definedName name="FSoPacific">{"BS",#N/A,FALSE,"USA"}</definedName>
    <definedName name="fuck" localSheetId="1">#REF!</definedName>
    <definedName name="fuck">#REF!</definedName>
    <definedName name="Full_name" localSheetId="1">[26]ProjectInfo!$B$3</definedName>
    <definedName name="Full_name">[27]ProjectInfo!$B$3</definedName>
    <definedName name="Full_Print" localSheetId="1">#REF!</definedName>
    <definedName name="Full_Print">#REF!</definedName>
    <definedName name="fv" localSheetId="1">[12]Output!$D$52</definedName>
    <definedName name="fv">[13]Output!$D$52</definedName>
    <definedName name="FX_Price_Cont_Matrix" localSheetId="1">#REF!</definedName>
    <definedName name="FX_Price_Cont_Matrix">#REF!</definedName>
    <definedName name="FX_Rate_Adjustment" localSheetId="1">#REF!</definedName>
    <definedName name="FX_Rate_Adjustment">#REF!</definedName>
    <definedName name="GETFILE">[7]PAS!#REF!</definedName>
    <definedName name="gf" localSheetId="1">#REF!</definedName>
    <definedName name="gf">#REF!</definedName>
    <definedName name="gfhfhfjf" localSheetId="1">#REF!</definedName>
    <definedName name="gfhfhfjf">#REF!</definedName>
    <definedName name="GOV_EQ_USD" localSheetId="1">#REF!</definedName>
    <definedName name="GOV_EQ_USD">#REF!</definedName>
    <definedName name="GRACE" localSheetId="1">[22]MAIN!$D$22</definedName>
    <definedName name="GRACE">[23]MAIN!$D$22</definedName>
    <definedName name="Grace_period" localSheetId="1">[10]Assumptions!$C$15</definedName>
    <definedName name="Grace_period">[11]Assumptions!$C$15</definedName>
    <definedName name="GRANT" localSheetId="1">[22]MAIN!$D$14</definedName>
    <definedName name="GRANT">[23]MAIN!$D$14</definedName>
    <definedName name="GRDIR">[7]PAS!#REF!</definedName>
    <definedName name="GS_EQUIP" localSheetId="1">#REF!</definedName>
    <definedName name="GS_EQUIP">#REF!</definedName>
    <definedName name="GS_EREC" localSheetId="1">#REF!</definedName>
    <definedName name="GS_EREC">#REF!</definedName>
    <definedName name="Header_Row" localSheetId="1">ROW(#REF!)</definedName>
    <definedName name="Header_Row">ROW(#REF!)</definedName>
    <definedName name="HEIGHT" localSheetId="1">#REF!</definedName>
    <definedName name="HEIGHT">#REF!</definedName>
    <definedName name="HH" localSheetId="1">#REF!</definedName>
    <definedName name="HH">#REF!</definedName>
    <definedName name="hn.ModelVersion">1</definedName>
    <definedName name="hn.NoUpload">0</definedName>
    <definedName name="HPC" localSheetId="1">#REF!</definedName>
    <definedName name="HPC">#REF!</definedName>
    <definedName name="HSTAR" localSheetId="1">#REF!</definedName>
    <definedName name="HSTAR">#REF!</definedName>
    <definedName name="HTML_CodePage" hidden="1">1252</definedName>
    <definedName name="HTML_Control" localSheetId="1" hidden="1">{"'Sheet1'!$A$1:$H$145"}</definedName>
    <definedName name="HTML_Control" localSheetId="2" hidden="1">{"'Sheet1'!$A$1:$H$145"}</definedName>
    <definedName name="HTML_Control" hidden="1">{"'Sheet1'!$A$1:$H$145"}</definedName>
    <definedName name="HTML_Description" hidden="1">""</definedName>
    <definedName name="HTML_Email" hidden="1">""</definedName>
    <definedName name="HTML_Header" hidden="1">"Country Risk Premiums"</definedName>
    <definedName name="HTML_LastUpdate" hidden="1">"2/19/99"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HD:HomePageStuff:New_Home_Page:datafile:ctryprem.html"</definedName>
    <definedName name="HTML_Title" hidden="1">"Country Risk Premiums"</definedName>
    <definedName name="HVSS_EQUIP" localSheetId="1">#REF!</definedName>
    <definedName name="HVSS_EQUIP">#REF!</definedName>
    <definedName name="HVSS_EREC" localSheetId="1">#REF!</definedName>
    <definedName name="HVSS_EREC">#REF!</definedName>
    <definedName name="HVTR_EQ" localSheetId="1">#REF!</definedName>
    <definedName name="HVTR_EQ">#REF!</definedName>
    <definedName name="HVTR_EREC" localSheetId="1">#REF!</definedName>
    <definedName name="HVTR_EREC">#REF!</definedName>
    <definedName name="HYDRAULIC" localSheetId="1">#REF!</definedName>
    <definedName name="HYDRAULIC">#REF!</definedName>
    <definedName name="IC" localSheetId="1">#REF!</definedName>
    <definedName name="IC">#REF!</definedName>
    <definedName name="iCodes" localSheetId="1">#REF!</definedName>
    <definedName name="iCodes">#REF!</definedName>
    <definedName name="icodes2" localSheetId="1">#REF!</definedName>
    <definedName name="icodes2">#REF!</definedName>
    <definedName name="IDC" localSheetId="1">'[28]13. Price Cont, IDC and FCDI'!#REF!</definedName>
    <definedName name="IDC">'[29]13. Price Cont, IDC and FCDI'!#REF!</definedName>
    <definedName name="IDCt1" localSheetId="1">'[12]Working quarter'!$D$223</definedName>
    <definedName name="IDCt1">'[13]Working quarter'!$D$223</definedName>
    <definedName name="IDCt2" localSheetId="1">'[12]Working quarter'!$D$294</definedName>
    <definedName name="IDCt2">'[13]Working quarter'!$D$294</definedName>
    <definedName name="IDCt3" localSheetId="1">'[12]Working quarter'!$D$365</definedName>
    <definedName name="IDCt3">'[13]Working quarter'!$D$365</definedName>
    <definedName name="II" localSheetId="1">#REF!</definedName>
    <definedName name="II">#REF!</definedName>
    <definedName name="INCSMT" localSheetId="1">#REF!</definedName>
    <definedName name="INCSMT">#REF!</definedName>
    <definedName name="inflation" localSheetId="1">#REF!</definedName>
    <definedName name="inflation">#REF!</definedName>
    <definedName name="Inflation_PhP" localSheetId="1">[10]Assumptions!$C$6</definedName>
    <definedName name="Inflation_PhP">[11]Assumptions!$C$6</definedName>
    <definedName name="Inflation_USD" localSheetId="1">[10]Assumptions!$C$7</definedName>
    <definedName name="Inflation_USD">[11]Assumptions!$C$7</definedName>
    <definedName name="Initial_tariff" localSheetId="1">[10]Assumptions!$C$34</definedName>
    <definedName name="Initial_tariff">[11]Assumptions!$C$34</definedName>
    <definedName name="INST" localSheetId="1">[30]main!#REF!</definedName>
    <definedName name="INST">[31]main!#REF!</definedName>
    <definedName name="Installments" localSheetId="1">[10]Assumptions!$C$18</definedName>
    <definedName name="Installments">[11]Assumptions!$C$18</definedName>
    <definedName name="Int" localSheetId="1">#REF!</definedName>
    <definedName name="Int">#REF!</definedName>
    <definedName name="Interest_Rate" localSheetId="1">#REF!</definedName>
    <definedName name="Interest_Rate">#REF!</definedName>
    <definedName name="Interest_rate1" localSheetId="1">[10]Assumptions!$C$13</definedName>
    <definedName name="Interest_rate1">[11]Assumptions!$C$13</definedName>
    <definedName name="Interest_rate2" localSheetId="1">[10]Assumptions!$F$13</definedName>
    <definedName name="Interest_rate2">[11]Assumptions!$F$13</definedName>
    <definedName name="Intt_Differential" localSheetId="1">'[16]Financing Plan'!$M$13</definedName>
    <definedName name="Intt_Differential">'[17]Financing Plan'!$M$13</definedName>
    <definedName name="INV" localSheetId="1">#REF!</definedName>
    <definedName name="INV">#REF!</definedName>
    <definedName name="INVSUM" localSheetId="1">#REF!</definedName>
    <definedName name="INVSUM">#REF!</definedName>
    <definedName name="IQ_ACCOUNT_CHANGE">"c1449"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GROWTH">"c1924"</definedName>
    <definedName name="IQ_ACCT_RECV_1YR_ANN_GROWTH">"c1919"</definedName>
    <definedName name="IQ_ACCT_RECV_2YR_ANN_GROWTH">"c1920"</definedName>
    <definedName name="IQ_ACCT_RECV_3YR_ANN_GROWTH">"c1921"</definedName>
    <definedName name="IQ_ACCT_RECV_5YR_ANN_GROWTH">"c1922"</definedName>
    <definedName name="IQ_ACCT_RECV_7YR_ANN_GROWTH">"c1923"</definedName>
    <definedName name="IQ_ACCUM_DEP">"c1340"</definedName>
    <definedName name="IQ_ACCUMULATED_PENSION_OBLIGATION">"c2108"</definedName>
    <definedName name="IQ_ACQ_COST_SUB">"c2125"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"c1344"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"c1591"</definedName>
    <definedName name="IQ_AMT_OUT">"c2145"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RPU">"c2126"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SSETS_CAP_LEASE_DEPR">"c2068"</definedName>
    <definedName name="IQ_ASSETS_CAP_LEASE_GROSS">"c2069"</definedName>
    <definedName name="IQ_ASSETS_OPER_LEASE_DEPR">"c2070"</definedName>
    <definedName name="IQ_ASSETS_OPER_LEASE_GROSS">"c2071"</definedName>
    <definedName name="IQ_AUDITOR_NAME">"c1539"</definedName>
    <definedName name="IQ_AUDITOR_OPINION">"c1540"</definedName>
    <definedName name="IQ_AUTO_WRITTEN">"c62"</definedName>
    <definedName name="IQ_AVG_BANK_ASSETS">"c2072"</definedName>
    <definedName name="IQ_AVG_BANK_LOANS">"c2073"</definedName>
    <definedName name="IQ_AVG_BROKER_REC">"c63"</definedName>
    <definedName name="IQ_AVG_BROKER_REC_NO">"c64"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"c1346"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NCHMARK_SECURITY">"c2154"</definedName>
    <definedName name="IQ_BENCHMARK_SPRD">"c2153"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OARD_MEMBER">"c96"</definedName>
    <definedName name="IQ_BOARD_MEMBER_BACKGROUND">"c2101"</definedName>
    <definedName name="IQ_BOARD_MEMBER_TITLE">"c97"</definedName>
    <definedName name="IQ_BOND_COUPON">"c2183"</definedName>
    <definedName name="IQ_BOND_COUPON_TYPE">"c2184"</definedName>
    <definedName name="IQ_BOND_PRICE">"c2162"</definedName>
    <definedName name="IQ_BONDRATING_FITCH">"IQ_BONDRATING_FITCH"</definedName>
    <definedName name="IQ_BONDRATING_SP">"IQ_BONDRATING_SP"</definedName>
    <definedName name="IQ_BOOK_VALUE">"IQ_BOOK_VALUE"</definedName>
    <definedName name="IQ_BROK_COMISSION">"c98"</definedName>
    <definedName name="IQ_BUILDINGS">"c99"</definedName>
    <definedName name="IQ_BUSINESS_DESCRIPTION">"c322"</definedName>
    <definedName name="IQ_BV_OVER_SHARES">"c1349"</definedName>
    <definedName name="IQ_BV_SHARE">"c100"</definedName>
    <definedName name="IQ_CAL_Q">"c101"</definedName>
    <definedName name="IQ_CAL_Y">"c102"</definedName>
    <definedName name="IQ_CALL_FEATURE">"c2197"</definedName>
    <definedName name="IQ_CALLABLE">"c2196"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"c1350"</definedName>
    <definedName name="IQ_CAPITAL_LEASES">"c115"</definedName>
    <definedName name="IQ_CAPITALIZED_INTEREST">"c2076"</definedName>
    <definedName name="IQ_CASH">"c1458"</definedName>
    <definedName name="IQ_CASH_ACQUIRE_CF">"c1630"</definedName>
    <definedName name="IQ_CASH_CONVERSION">"c117"</definedName>
    <definedName name="IQ_CASH_DUE_BANKS">"c1351"</definedName>
    <definedName name="IQ_CASH_EQUIV">"c118"</definedName>
    <definedName name="IQ_CASH_FINAN">"c119"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TAXES">"c125"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NET_WORKING_CAPITAL">"c1909"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OBLIGATION_IMMEDIATE">"c2253"</definedName>
    <definedName name="IQ_CLASSA_OUTSTANDING_BS_DATE">"c1971"</definedName>
    <definedName name="IQ_CLASSA_OUTSTANDING_FILING_DATE">"c1973"</definedName>
    <definedName name="IQ_CLOSEPRICE">"c174"</definedName>
    <definedName name="IQ_CLOSEPRICE_ADJ">"c2115"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NV_DATE">"c2191"</definedName>
    <definedName name="IQ_CONV_PREMIUM">"c2195"</definedName>
    <definedName name="IQ_CONV_PRICE">"c2193"</definedName>
    <definedName name="IQ_CONV_RATE">"c2192"</definedName>
    <definedName name="IQ_CONV_SECURITY">"c2189"</definedName>
    <definedName name="IQ_CONV_SECURITY_ISSUER">"c2190"</definedName>
    <definedName name="IQ_CONV_SECURITY_PRICE">"c2194"</definedName>
    <definedName name="IQ_CONVEXITY">"c2182"</definedName>
    <definedName name="IQ_COST_BORROWINGS">"c225"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OVERED_POPS">"c2124"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MULATIVE_SPLIT_FACTOR">"c2094"</definedName>
    <definedName name="IQ_CURR_DOMESTIC_TAXES">"c2074"</definedName>
    <definedName name="IQ_CURR_FOREIGN_TAXES">"c2075"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TED_DATE">"c2185"</definedName>
    <definedName name="IQ_DAY_COUNT">"c2161"</definedName>
    <definedName name="IQ_DAYS_COVER_SHORT">"c1578"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POSITS_FIN">"c321"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SCRIPTION_LONG">"c1520"</definedName>
    <definedName name="IQ_DEVELOP_LAND">"c323"</definedName>
    <definedName name="IQ_DIFF_LASTCLOSE_TARGET_PRICE">"c1854"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WEIGHT">"c326"</definedName>
    <definedName name="IQ_DISCONT_OPER">"c1367"</definedName>
    <definedName name="IQ_DISCOUNT_RATE_PENSION_DOMESTIC">"c327"</definedName>
    <definedName name="IQ_DISCOUNT_RATE_PENSION_FOREIGN">"c328"</definedName>
    <definedName name="IQ_DISTR_EXCESS_EARN">"c329"</definedName>
    <definedName name="IQ_DIV_PAYMENT_DATE">"c2106"</definedName>
    <definedName name="IQ_DIV_RECORD_DATE">"c2105"</definedName>
    <definedName name="IQ_DIV_SHARE">"c330"</definedName>
    <definedName name="IQ_DIVEST_CF">"c331"</definedName>
    <definedName name="IQ_DIVID_SHARE">"c1366"</definedName>
    <definedName name="IQ_DIVIDEND_YIELD">"c332"</definedName>
    <definedName name="IQ_DO">"c333"</definedName>
    <definedName name="IQ_DO_ASSETS_CURRENT">"c334"</definedName>
    <definedName name="IQ_DO_ASSETS_LT">"c335"</definedName>
    <definedName name="IQ_DO_CF">"c336"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DURATION">"c2181"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ARNINGS_ANNOUNCE_DATE">"c1649"</definedName>
    <definedName name="IQ_EBIT">"c352"</definedName>
    <definedName name="IQ_EBIT_10K">"IQ_EBIT_10K"</definedName>
    <definedName name="IQ_EBIT_10Q">"IQ_EBIT_10Q"</definedName>
    <definedName name="IQ_EBIT_10Q1">"IQ_EBIT_10Q1"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GROWTH_1">"IQ_EBIT_GROWTH_1"</definedName>
    <definedName name="IQ_EBIT_GROWTH_2">"IQ_EBIT_GROWTH_2"</definedName>
    <definedName name="IQ_EBIT_INT">"c360"</definedName>
    <definedName name="IQ_EBIT_MARGIN">"c359"</definedName>
    <definedName name="IQ_EBIT_OVER_IE">"c1369"</definedName>
    <definedName name="IQ_EBITA">"c1910"</definedName>
    <definedName name="IQ_EBITA_10YR_ANN_GROWTH">"c1954"</definedName>
    <definedName name="IQ_EBITA_1YR_ANN_GROWTH">"c1949"</definedName>
    <definedName name="IQ_EBITA_2YR_ANN_GROWTH">"c1950"</definedName>
    <definedName name="IQ_EBITA_3YR_ANN_GROWTH">"c1951"</definedName>
    <definedName name="IQ_EBITA_5YR_ANN_GROWTH">"c1952"</definedName>
    <definedName name="IQ_EBITA_7YR_ANN_GROWTH">"c1953"</definedName>
    <definedName name="IQ_EBITA_MARGIN">"c1963"</definedName>
    <definedName name="IQ_EBITDA">"c361"</definedName>
    <definedName name="IQ_EBITDA_10K">"IQ_EBITDA_10K"</definedName>
    <definedName name="IQ_EBITDA_10Q">"IQ_EBITDA_10Q"</definedName>
    <definedName name="IQ_EBITDA_10Q1">"IQ_EBITDA_10Q1"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CAPEX_INT">"c368"</definedName>
    <definedName name="IQ_EBITDA_CAPEX_OVER_TOTAL_IE">"c1370"</definedName>
    <definedName name="IQ_EBITDA_GROWTH_1">"IQ_EBITDA_GROWTH_1"</definedName>
    <definedName name="IQ_EBITDA_GROWTH_2">"IQ_EBITDA_GROWTH_2"</definedName>
    <definedName name="IQ_EBITDA_INT">"c373"</definedName>
    <definedName name="IQ_EBITDA_MARGIN">"c372"</definedName>
    <definedName name="IQ_EBITDA_OVER_TOTAL_IE">"c1371"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CL_MARGIN">"c387"</definedName>
    <definedName name="IQ_EBT_INS">"c388"</definedName>
    <definedName name="IQ_EBT_REIT">"c389"</definedName>
    <definedName name="IQ_EBT_UTI">"c390"</definedName>
    <definedName name="IQ_EFFECT_SPECIAL_CHARGE">"c1595"</definedName>
    <definedName name="IQ_EFFECT_TAX_RATE">"c1899"</definedName>
    <definedName name="IQ_EFFICIENCY_RATIO">"c391"</definedName>
    <definedName name="IQ_EMPLOYEES">"c392"</definedName>
    <definedName name="IQ_ENTERPRISE_VALUE">"c1348"</definedName>
    <definedName name="IQ_EPS">"IQ_EPS"</definedName>
    <definedName name="IQ_EPS_10K">"IQ_EPS_10K"</definedName>
    <definedName name="IQ_EPS_10Q">"IQ_EPS_10Q"</definedName>
    <definedName name="IQ_EPS_10Q1">"IQ_EPS_10Q1"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ACT_OR_EST">"c2213"</definedName>
    <definedName name="IQ_EPS_EST">"c399"</definedName>
    <definedName name="IQ_EPS_EST_1">"IQ_EPS_EST_1"</definedName>
    <definedName name="IQ_EPS_HIGH_EST">"c400"</definedName>
    <definedName name="IQ_EPS_LOW_EST">"c401"</definedName>
    <definedName name="IQ_EPS_MEDIAN_EST">"c1661"</definedName>
    <definedName name="IQ_EPS_NORM">"c1902"</definedName>
    <definedName name="IQ_EPS_NUM_EST">"c402"</definedName>
    <definedName name="IQ_EPS_STDDEV_EST">"c403"</definedName>
    <definedName name="IQ_EQUITY_AFFIL">"c1451"</definedName>
    <definedName name="IQ_EQUITY_METHOD">"c404"</definedName>
    <definedName name="IQ_EQV_OVER_BV">"c1596"</definedName>
    <definedName name="IQ_EQV_OVER_LTM_PRETAX_INC">"c1390"</definedName>
    <definedName name="IQ_ESOP_DEBT">"c1597"</definedName>
    <definedName name="IQ_EST_ACT_EPS">"c1648"</definedName>
    <definedName name="IQ_EST_CURRENCY">"c2140"</definedName>
    <definedName name="IQ_EST_DATE">"c1634"</definedName>
    <definedName name="IQ_EST_EPS_DIFF">"c1864"</definedName>
    <definedName name="IQ_EST_EPS_GROWTH_1YR">"c1636"</definedName>
    <definedName name="IQ_EST_EPS_GROWTH_5YR">"c1655"</definedName>
    <definedName name="IQ_EST_EPS_GROWTH_5YR_HIGH">"c1657"</definedName>
    <definedName name="IQ_EST_EPS_GROWTH_5YR_LOW">"c1658"</definedName>
    <definedName name="IQ_EST_EPS_GROWTH_5YR_MEDIAN">"c1656"</definedName>
    <definedName name="IQ_EST_EPS_GROWTH_5YR_NUM">"c1659"</definedName>
    <definedName name="IQ_EST_EPS_GROWTH_5YR_STDDEV">"c1660"</definedName>
    <definedName name="IQ_EST_EPS_GROWTH_Q_1YR">"c1641"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V_OVER_REVENUE_EST">"IQ_EV_OVER_REVENUE_EST"</definedName>
    <definedName name="IQ_EV_OVER_REVENUE_EST_1">"IQ_EV_OVER_REVENUE_EST_1"</definedName>
    <definedName name="IQ_EVAL_DATE">"c2180"</definedName>
    <definedName name="IQ_EXCHANGE">"c405"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"c1459"</definedName>
    <definedName name="IQ_FDIC">"c417"</definedName>
    <definedName name="IQ_FEDFUNDS_SOLD">"c2256"</definedName>
    <definedName name="IQ_FFO">"c1574"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LING_CURRENCY">"c2129"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IV_ASSETS_CURRENT">"c427"</definedName>
    <definedName name="IQ_FIN_DIV_ASSETS_LT">"c428"</definedName>
    <definedName name="IQ_FIN_DIV_DEBT_CURRENT">"c429"</definedName>
    <definedName name="IQ_FIN_DIV_DEBT_LT">"c430"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REV">"c437"</definedName>
    <definedName name="IQ_FINANCING_CASH">"c1405"</definedName>
    <definedName name="IQ_FINANCING_CASH_SUPPL">"c1406"</definedName>
    <definedName name="IQ_FINISHED_INV">"c438"</definedName>
    <definedName name="IQ_FIRST_INT_DATE">"c2186"</definedName>
    <definedName name="IQ_FIRST_YEAR_LIFE">"c439"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"c1376"</definedName>
    <definedName name="IQ_FOREIGN_LOANS">"c448"</definedName>
    <definedName name="IQ_FQ">500</definedName>
    <definedName name="IQ_FUEL">"c449"</definedName>
    <definedName name="IQ_FULL_TIME">"c450"</definedName>
    <definedName name="IQ_FWD">"LTM"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WD_Q3">"504"</definedName>
    <definedName name="IQ_FWD_Q4">"505"</definedName>
    <definedName name="IQ_FWD_Q5">"506"</definedName>
    <definedName name="IQ_FWD_Q6">"507"</definedName>
    <definedName name="IQ_FWD_Q7">"508"</definedName>
    <definedName name="IQ_FWD1">"LTM"</definedName>
    <definedName name="IQ_FX">"c451"</definedName>
    <definedName name="IQ_FY">1000</definedName>
    <definedName name="IQ_FY_DATE">"IQ_FY_DATE"</definedName>
    <definedName name="IQ_GA_EXP">"c2241"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OODWILL_NET">"c1380"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"c1446"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"c1378"</definedName>
    <definedName name="IQ_GROSS_SPRD">"c2155"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LTD">"c2086"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"c1407"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10K">"IQ_INTEREST_INC_10K"</definedName>
    <definedName name="IQ_INTEREST_INC_10Q">"IQ_INTEREST_INC_10Q"</definedName>
    <definedName name="IQ_INTEREST_INC_10Q1">"IQ_INTEREST_INC_10Q1"</definedName>
    <definedName name="IQ_INTEREST_INC_NON">"c1384"</definedName>
    <definedName name="IQ_INTEREST_INVEST_INC">"c619"</definedName>
    <definedName name="IQ_INV_10YR_ANN_GROWTH">"c1930"</definedName>
    <definedName name="IQ_INV_1YR_ANN_GROWTH">"c1925"</definedName>
    <definedName name="IQ_INV_2YR_ANN_GROWTH">"c1926"</definedName>
    <definedName name="IQ_INV_3YR_ANN_GROWTH">"c1927"</definedName>
    <definedName name="IQ_INV_5YR_ANN_GROWTH">"c1928"</definedName>
    <definedName name="IQ_INV_7YR_ANN_GROWTH">"c1929"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PRD">"c644"</definedName>
    <definedName name="IQ_ISS_DEBT_NET">"c1391"</definedName>
    <definedName name="IQ_ISS_STOCK_NET">"c1601"</definedName>
    <definedName name="IQ_ISSUE_CURRENCY">"c2156"</definedName>
    <definedName name="IQ_ISSUE_NAME">"c2142"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LAND">"c645"</definedName>
    <definedName name="IQ_LAST_EBIT_MARGIN">"IQ_LAST_EBIT_MARGIN"</definedName>
    <definedName name="IQ_LAST_EBITDA_MARGIN">"IQ_LAST_EBITDA_MARGIN"</definedName>
    <definedName name="IQ_LAST_GROSS_MARGIN">"IQ_LAST_GROSS_MARGIN"</definedName>
    <definedName name="IQ_LAST_NET_INC_MARGIN">"IQ_LAST_NET_INC_MARGIN"</definedName>
    <definedName name="IQ_LAST_PMT_DATE">"c2188"</definedName>
    <definedName name="IQ_LAST_SPLIT_DATE">"c2095"</definedName>
    <definedName name="IQ_LAST_SPLIT_FACTOR">"c2093"</definedName>
    <definedName name="IQ_LASTSALEPRICE">"c646"</definedName>
    <definedName name="IQ_LASTSALEPRICE_DATE">"c2109"</definedName>
    <definedName name="IQ_LATEST">"1"</definedName>
    <definedName name="IQ_LATESTK">1000</definedName>
    <definedName name="IQ_LATESTKFR">"50"</definedName>
    <definedName name="IQ_LATESTQ">500</definedName>
    <definedName name="IQ_LATESTQFR">"100"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GROWTH">"c1942"</definedName>
    <definedName name="IQ_LFCF_1YR_ANN_GROWTH">"c1937"</definedName>
    <definedName name="IQ_LFCF_2YR_ANN_GROWTH">"c1938"</definedName>
    <definedName name="IQ_LFCF_3YR_ANN_GROWTH">"c1939"</definedName>
    <definedName name="IQ_LFCF_5YR_ANN_GROWTH">"c1940"</definedName>
    <definedName name="IQ_LFCF_7YR_ANN_GROWTH">"c1941"</definedName>
    <definedName name="IQ_LFCF_MARGIN">"c1961"</definedName>
    <definedName name="IQ_LICENSED_POPS">"c2123"</definedName>
    <definedName name="IQ_LIFOR">"c655"</definedName>
    <definedName name="IQ_LL">"c656"</definedName>
    <definedName name="IQ_LOAN_LEASE_RECEIV">"c657"</definedName>
    <definedName name="IQ_LOAN_LOSS">"c1386"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LOSS_EXP">"c672"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DATE">"IQ_LTM_DATE"</definedName>
    <definedName name="IQ_LTM_REVENUE_OVER_EMPLOYEES">"c1437"</definedName>
    <definedName name="IQ_MACHINERY">"c711"</definedName>
    <definedName name="IQ_MAINT_REPAIR">"c2087"</definedName>
    <definedName name="IQ_MARKET_CAP_LFCF">"c2209"</definedName>
    <definedName name="IQ_MARKETCAP">"c712"</definedName>
    <definedName name="IQ_MARKETING">"c2239"</definedName>
    <definedName name="IQ_MATURITY_DATE">"c2146"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M_ACCOUNT">"c743"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SERV_RIGHTS">"c2242"</definedName>
    <definedName name="IQ_NET_CHANGE">"c749"</definedName>
    <definedName name="IQ_NET_DEBT">"c1584"</definedName>
    <definedName name="IQ_NET_DEBT_EBITDA">"c750"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INC">"c1394"</definedName>
    <definedName name="IQ_NET_INC_10K">"IQ_NET_INC_10K"</definedName>
    <definedName name="IQ_NET_INC_10Q">"IQ_NET_INC_10Q"</definedName>
    <definedName name="IQ_NET_INC_10Q1">"IQ_NET_INC_10Q1"</definedName>
    <definedName name="IQ_NET_INC_BEFORE">"c1368"</definedName>
    <definedName name="IQ_NET_INC_CF">"c1397"</definedName>
    <definedName name="IQ_NET_INC_GROWTH_1">"IQ_NET_INC_GROWTH_1"</definedName>
    <definedName name="IQ_NET_INC_GROWTH_2">"IQ_NET_INC_GROWTH_2"</definedName>
    <definedName name="IQ_NET_INC_MARGIN">"c1398"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MARGIN">"c794"</definedName>
    <definedName name="IQ_NI_NORM">"c1901"</definedName>
    <definedName name="IQ_NI_NORM_10YR_ANN_GROWTH">"c1960"</definedName>
    <definedName name="IQ_NI_NORM_1YR_ANN_GROWTH">"c1955"</definedName>
    <definedName name="IQ_NI_NORM_2YR_ANN_GROWTH">"c1956"</definedName>
    <definedName name="IQ_NI_NORM_3YR_ANN_GROWTH">"c1957"</definedName>
    <definedName name="IQ_NI_NORM_5YR_ANN_GROWTH">"c1958"</definedName>
    <definedName name="IQ_NI_NORM_7YR_ANN_GROWTH">"c1959"</definedName>
    <definedName name="IQ_NI_NORM_MARGIN">"c1964"</definedName>
    <definedName name="IQ_NI_SFAS">"c795"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UTIL_REV">"c2089"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BER_ADRHOLDERS">"c1970"</definedName>
    <definedName name="IQ_NUMBER_DAYS">"c1904"</definedName>
    <definedName name="IQ_NUMBER_SHAREHOLDERS">"c1967"</definedName>
    <definedName name="IQ_NUMBER_SHAREHOLDERS_CLASSA">"c1968"</definedName>
    <definedName name="IQ_NUMBER_SHAREHOLDERS_OTHER">"c1969"</definedName>
    <definedName name="IQ_OCCUPY_EXP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CLOSE_BALANCE_GAS">"c2049"</definedName>
    <definedName name="IQ_OG_CLOSE_BALANCE_OIL">"c2037"</definedName>
    <definedName name="IQ_OG_DCF_BEFORE_TAXES">"c2023"</definedName>
    <definedName name="IQ_OG_DCF_BEFORE_TAXES_GAS">"c2025"</definedName>
    <definedName name="IQ_OG_DCF_BEFORE_TAXES_OIL">"c2024"</definedName>
    <definedName name="IQ_OG_DEVELOPED_RESERVES_GAS">"c2053"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T_DISC_GAS">"c2043"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IMPROVED_RECOVERY_GAS">"c2044"</definedName>
    <definedName name="IQ_OG_IMPROVED_RECOVERY_OIL">"c2032"</definedName>
    <definedName name="IQ_OG_LIQUID_GAS_PRICE_HEDGED">"c2233"</definedName>
    <definedName name="IQ_OG_LIQUID_GAS_PRICE_UNHEDGED">"c2234"</definedName>
    <definedName name="IQ_OG_NET_FUTURE_CASH_FLOWS">"c1996"</definedName>
    <definedName name="IQ_OG_NET_FUTURE_CASH_FLOWS_GAS">"c2016"</definedName>
    <definedName name="IQ_OG_NET_FUTURE_CASH_FLOWS_OIL">"c2006"</definedName>
    <definedName name="IQ_OG_OIL_PRICE_HEDGED">"c2055"</definedName>
    <definedName name="IQ_OG_OIL_PRICE_UNHEDGED">"c2057"</definedName>
    <definedName name="IQ_OG_OPEN_BALANCE_GAS">"c2041"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OIL">"c2035"</definedName>
    <definedName name="IQ_OG_PURCHASES_GAS">"c2045"</definedName>
    <definedName name="IQ_OG_PURCHASES_OIL">"c2033"</definedName>
    <definedName name="IQ_OG_REVISIONS_GAS">"c2042"</definedName>
    <definedName name="IQ_OG_REVISIONS_OIL">"c2030"</definedName>
    <definedName name="IQ_OG_SALES_IN_PLACE_GAS">"c2046"</definedName>
    <definedName name="IQ_OG_SALES_IN_PLACE_OIL">"c2034"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PRODUCTION">"c2060"</definedName>
    <definedName name="IQ_OG_TOTAL_LIQUID_GAS_PRODUCTION">"c2235"</definedName>
    <definedName name="IQ_OG_TOTAL_OIL_PRODUCTION">"c2059"</definedName>
    <definedName name="IQ_OG_TOTAL_OIL_PRODUCTON">"c2059"</definedName>
    <definedName name="IQ_OG_UNDEVELOPED_RESERVES_GAS">"c2051"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PRICE">"c848"</definedName>
    <definedName name="IQ_OPER_INC">"c849"</definedName>
    <definedName name="IQ_OPER_INC_BR">"c850"</definedName>
    <definedName name="IQ_OPER_INC_FIN">"c851"</definedName>
    <definedName name="IQ_OPER_INC_INS">"c852"</definedName>
    <definedName name="IQ_OPER_INC_MARGIN">"c1448"</definedName>
    <definedName name="IQ_OPER_INC_REIT">"c853"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ED">"c2116"</definedName>
    <definedName name="IQ_OPTIONS_ISSUED">"c857"</definedName>
    <definedName name="IQ_ORDER_BACKLOG">"c2090"</definedName>
    <definedName name="IQ_OTHER_ADJUST_GROSS_LOANS">"c859"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"c1403"</definedName>
    <definedName name="IQ_OTHER_CURRENT_LIAB">"c1404"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"c1453"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OUTSTANDING_BS_DATE">"c1972"</definedName>
    <definedName name="IQ_OTHER_OUTSTANDING_FILING_DATE">"c1974"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"c2128"</definedName>
    <definedName name="IQ_OUTSTANDING_FILING_DATE">"c2127"</definedName>
    <definedName name="IQ_OWNERSHIP">"c2160"</definedName>
    <definedName name="IQ_PART_TIME">"c1024"</definedName>
    <definedName name="IQ_PAY_ACCRUED">"c1457"</definedName>
    <definedName name="IQ_PAYOUT_RATIO">"c1900"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NORMALIZED">"c2207"</definedName>
    <definedName name="IQ_PE_RATIO">"c1610"</definedName>
    <definedName name="IQ_PENSION">"c1031"</definedName>
    <definedName name="IQ_PERIODDATE">"c1414"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LL">"c2114"</definedName>
    <definedName name="IQ_PMT_FREQ">"c2236"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OSTPAID_CHURN">"c2121"</definedName>
    <definedName name="IQ_POSTPAID_SUBS">"c2118"</definedName>
    <definedName name="IQ_PRE_OPEN_COST">"c1040"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ETAX_INC">"IQ_PRETAX_INC"</definedName>
    <definedName name="IQ_PRETAX_INC_10K">"IQ_PRETAX_INC_10K"</definedName>
    <definedName name="IQ_PRETAX_INC_10Q">"IQ_PRETAX_INC_10Q"</definedName>
    <definedName name="IQ_PRETAX_INC_10Q1">"IQ_PRETAX_INC_10Q1"</definedName>
    <definedName name="IQ_PRICE_OVER_BVPS">"c1412"</definedName>
    <definedName name="IQ_PRICE_OVER_EPS_EST">"IQ_PRICE_OVER_EPS_EST"</definedName>
    <definedName name="IQ_PRICE_OVER_EPS_EST_1">"IQ_PRICE_OVER_EPS_EST_1"</definedName>
    <definedName name="IQ_PRICE_OVER_LTM_EPS">"c1413"</definedName>
    <definedName name="IQ_PRICE_TARGET">"c82"</definedName>
    <definedName name="IQ_PRICEDATE">"c1069"</definedName>
    <definedName name="IQ_PRICEDATETIME">"IQ_PRICEDATETIME"</definedName>
    <definedName name="IQ_PRICING_DATE">"c1613"</definedName>
    <definedName name="IQ_PRIMARY_INDUSTRY">"c1070"</definedName>
    <definedName name="IQ_PRINCIPAL_AMT">"c2157"</definedName>
    <definedName name="IQ_PRO_FORMA_BASIC_EPS">"c1614"</definedName>
    <definedName name="IQ_PRO_FORMA_DILUT_EPS">"c1615"</definedName>
    <definedName name="IQ_PRO_FORMA_NET_INC">"c1452"</definedName>
    <definedName name="IQ_PROFESSIONAL">"c1071"</definedName>
    <definedName name="IQ_PROFESSIONAL_TITLE">"c1072"</definedName>
    <definedName name="IQ_PROJECTED_PENSION_OBLIGATION">"c1292"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DEEM_PREF_STOCK">"c1417"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"c1419"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L_AVG_STORE_SIZE_GROSS">"c2066"</definedName>
    <definedName name="IQ_RETAIL_AVG_STORE_SIZE_NET">"c2067"</definedName>
    <definedName name="IQ_RETAIL_CLOSED_STORES">"c2063"</definedName>
    <definedName name="IQ_RETAIL_OPENED_STORES">"c2062"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Q_FOOTAGE">"c2064"</definedName>
    <definedName name="IQ_RETAIL_STORE_SELLING_AREA">"c2065"</definedName>
    <definedName name="IQ_RETAIL_TOTAL_STORES">"c2061"</definedName>
    <definedName name="IQ_RETAINED_EARN">"c1420"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"c1421"</definedName>
    <definedName name="IQ_REV">"c1122"</definedName>
    <definedName name="IQ_REV_BEFORE_LL">"c1123"</definedName>
    <definedName name="IQ_REV_UTI">"c1125"</definedName>
    <definedName name="IQ_REVENUE">"c1422"</definedName>
    <definedName name="IQ_REVENUE_10K">"IQ_REVENUE_10K"</definedName>
    <definedName name="IQ_REVENUE_10Q">"IQ_REVENUE_10Q"</definedName>
    <definedName name="IQ_REVENUE_10Q1">"IQ_REVENUE_10Q1"</definedName>
    <definedName name="IQ_REVENUE_EST">"IQ_REVENUE_EST"</definedName>
    <definedName name="IQ_REVENUE_EST_1">"IQ_REVENUE_EST_1"</definedName>
    <definedName name="IQ_REVENUE_GROWTH_1">"IQ_REVENUE_GROWTH_1"</definedName>
    <definedName name="IQ_REVENUE_GROWTH_2">"IQ_REVENUE_GROWTH_2"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VING_DEP">"c1150"</definedName>
    <definedName name="IQ_SECUR_RECEIV">"c1151"</definedName>
    <definedName name="IQ_SECURITY_BORROW">"c1152"</definedName>
    <definedName name="IQ_SECURITY_LEVEL">"c2159"</definedName>
    <definedName name="IQ_SECURITY_NOTES">"c2202"</definedName>
    <definedName name="IQ_SECURITY_OWN">"c1153"</definedName>
    <definedName name="IQ_SECURITY_RESELL">"c1154"</definedName>
    <definedName name="IQ_SECURITY_TYPE">"c2158"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MARGIN">"c1898"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"c1425"</definedName>
    <definedName name="IQ_SMALL_INT_BEAR_CD">"c1166"</definedName>
    <definedName name="IQ_SOFTWARE">"c1167"</definedName>
    <definedName name="IQ_SOURCE">"c1168"</definedName>
    <definedName name="IQ_SP">"c2171"</definedName>
    <definedName name="IQ_SP_DATE">"c2172"</definedName>
    <definedName name="IQ_SP_REASON">"c2174"</definedName>
    <definedName name="IQ_SP_STATUS">"c2173"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CF">"c1203"</definedName>
    <definedName name="IQ_STRIKE_PRICE_ISSUED">"c1645"</definedName>
    <definedName name="IQ_STRIKE_PRICE_OS">"c1646"</definedName>
    <definedName name="IQ_STW">"c2166"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X_BENEFIT_OPTIONS">"c1215"</definedName>
    <definedName name="IQ_TAX_EQUIV_NET_INT_INC">"c1216"</definedName>
    <definedName name="IQ_TBV">"c1906"</definedName>
    <definedName name="IQ_TBV_10YR_ANN_GROWTH">"c1936"</definedName>
    <definedName name="IQ_TBV_1YR_ANN_GROWTH">"c1931"</definedName>
    <definedName name="IQ_TBV_2YR_ANN_GROWTH">"c1932"</definedName>
    <definedName name="IQ_TBV_3YR_ANN_GROWTH">"c1933"</definedName>
    <definedName name="IQ_TBV_5YR_ANN_GROWTH">"c1934"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DA">"c1222"</definedName>
    <definedName name="IQ_TEV_EBITDA_AVG">"c1223"</definedName>
    <definedName name="IQ_TEV_EBITDA_FWD">"c1224"</definedName>
    <definedName name="IQ_TEV_EMPLOYEE_AVG">"c1225"</definedName>
    <definedName name="IQ_TEV_TOTAL_REV">"c1226"</definedName>
    <definedName name="IQ_TEV_TOTAL_REV_AVG">"c1227"</definedName>
    <definedName name="IQ_TEV_TOTAL_REV_FWD">"c1228"</definedName>
    <definedName name="IQ_TEV_UFCF">"c2208"</definedName>
    <definedName name="IQ_TIER_ONE_RATIO">"c1229"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URN">"c2122"</definedName>
    <definedName name="IQ_TOTAL_CL">"c1245"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">"c1522"</definedName>
    <definedName name="IQ_TOTAL_EMPLOYEES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"c1435"</definedName>
    <definedName name="IQ_TOTAL_LIAB_TOTAL_ASSETS">"c1283"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EXP">"c1291"</definedName>
    <definedName name="IQ_TOTAL_PENSION_OBLIGATION">"c1292"</definedName>
    <definedName name="IQ_TOTAL_PROVED_RESERVES_OIL">"c2040"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SHARE">"c1912"</definedName>
    <definedName name="IQ_TOTAL_REV_UTI">"c1308"</definedName>
    <definedName name="IQ_TOTAL_REVENUE">"c1436"</definedName>
    <definedName name="IQ_TOTAL_SPECIAL">"c1618"</definedName>
    <definedName name="IQ_TOTAL_ST_BORROW">"c1424"</definedName>
    <definedName name="IQ_TOTAL_SUBS">"c2119"</definedName>
    <definedName name="IQ_TOTAL_UNUSUAL">"c1508"</definedName>
    <definedName name="IQ_TRADE_AR">"c1345"</definedName>
    <definedName name="IQ_TRADE_PRINCIPAL">"c1309"</definedName>
    <definedName name="IQ_TRADING_ASSETS">"c1310"</definedName>
    <definedName name="IQ_TRADING_CURRENCY">"c2212"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"c1438"</definedName>
    <definedName name="IQ_TRUST_INC">"c1319"</definedName>
    <definedName name="IQ_TRUST_PREF">"c1320"</definedName>
    <definedName name="IQ_UFCF_10YR_ANN_GROWTH">"c1948"</definedName>
    <definedName name="IQ_UFCF_1YR_ANN_GROWTH">"c1943"</definedName>
    <definedName name="IQ_UFCF_2YR_ANN_GROWTH">"c1944"</definedName>
    <definedName name="IQ_UFCF_3YR_ANN_GROWTH">"c1945"</definedName>
    <definedName name="IQ_UFCF_5YR_ANN_GROWTH">"c1946"</definedName>
    <definedName name="IQ_UFCF_7YR_ANN_GROWTH">"c1947"</definedName>
    <definedName name="IQ_UFCF_MARGIN">"c1962"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LEVERED_FCF">"c1908"</definedName>
    <definedName name="IQ_UNPAID_CLAIMS">"c1330"</definedName>
    <definedName name="IQ_UNREALIZED_GAIN">"c1619"</definedName>
    <definedName name="IQ_UNUSUAL_EXP">"c1456"</definedName>
    <definedName name="IQ_US_GAAP">"c1331"</definedName>
    <definedName name="IQ_UTIL_PPE_NET">"c1620"</definedName>
    <definedName name="IQ_UTIL_REV">"c2091"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EIGHTED_AVG_PRICE">"c1334"</definedName>
    <definedName name="IQ_WIP_INV">"c1335"</definedName>
    <definedName name="IQ_WORKMEN_WRITTEN">"c1336"</definedName>
    <definedName name="IQ_XDIV_DATE">"c2104"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W">"c2163"</definedName>
    <definedName name="IQ_YTW_DATE">"c2164"</definedName>
    <definedName name="IQ_YTW_DATE_TYPE">"c2165"</definedName>
    <definedName name="IQ_Z_SCORE">"c1339"</definedName>
    <definedName name="IRRI" localSheetId="1">#REF!</definedName>
    <definedName name="IRRI">#REF!</definedName>
    <definedName name="jett1" localSheetId="1">#REF!</definedName>
    <definedName name="jett1">#REF!</definedName>
    <definedName name="jett2" localSheetId="1">#REF!</definedName>
    <definedName name="jett2">#REF!</definedName>
    <definedName name="jett3" localSheetId="1">#REF!</definedName>
    <definedName name="jett3">#REF!</definedName>
    <definedName name="K2_WBEVMODE">-1</definedName>
    <definedName name="KD" localSheetId="1">#REF!</definedName>
    <definedName name="KD">#REF!</definedName>
    <definedName name="KK" localSheetId="1">#REF!</definedName>
    <definedName name="KK">#REF!</definedName>
    <definedName name="l" localSheetId="1">#REF!</definedName>
    <definedName name="l">#REF!</definedName>
    <definedName name="LAB_DISC" localSheetId="1">#REF!</definedName>
    <definedName name="LAB_DISC">#REF!</definedName>
    <definedName name="labor">[1]library!$D$15</definedName>
    <definedName name="Land" localSheetId="1">#REF!</definedName>
    <definedName name="Land">#REF!</definedName>
    <definedName name="Land_Acquisition" localSheetId="1">#REF!</definedName>
    <definedName name="Land_Acquisition">#REF!</definedName>
    <definedName name="Last_Row">#N/A</definedName>
    <definedName name="lastopyr" localSheetId="1">[8]input!$R$11</definedName>
    <definedName name="lastopyr">[9]input!$R$11</definedName>
    <definedName name="LAYOUT" localSheetId="1">#REF!</definedName>
    <definedName name="LAYOUT">#REF!</definedName>
    <definedName name="LC_Price_Contingency_Matrix" localSheetId="1">#REF!</definedName>
    <definedName name="LC_Price_Contingency_Matrix">#REF!</definedName>
    <definedName name="lconduit">[15]Analysis!$N$23</definedName>
    <definedName name="LDbCodes" localSheetId="1">#REF!</definedName>
    <definedName name="LDbCodes">#REF!</definedName>
    <definedName name="ldevice">[15]Analysis!$N$25</definedName>
    <definedName name="LENGTH" localSheetId="1">[22]MAIN!$D$8</definedName>
    <definedName name="LENGTH">[23]MAIN!$D$8</definedName>
    <definedName name="LENGTH_A" localSheetId="1">[22]MAIN!$L$6</definedName>
    <definedName name="LENGTH_A">[23]MAIN!$L$6</definedName>
    <definedName name="LENGTH_B" localSheetId="1">[22]MAIN!$L$7</definedName>
    <definedName name="LENGTH_B">[23]MAIN!$L$7</definedName>
    <definedName name="LENGTH_C" localSheetId="1">[22]MAIN!$L$8</definedName>
    <definedName name="LENGTH_C">[23]MAIN!$L$8</definedName>
    <definedName name="Level3" localSheetId="1">#REF!</definedName>
    <definedName name="Level3">#REF!</definedName>
    <definedName name="lfixture">[15]Analysis!$N$24</definedName>
    <definedName name="Line_wise_Total_Hard_cost" localSheetId="1">'[16]IDC LINE-WISE ALLOCATION'!#REF!</definedName>
    <definedName name="Line_wise_Total_Hard_cost">'[17]IDC LINE-WISE ALLOCATION'!#REF!</definedName>
    <definedName name="Line_wise_year_wise" localSheetId="1">'[16]IDC LINE-WISE ALLOCATION'!#REF!</definedName>
    <definedName name="Line_wise_year_wise">'[17]IDC LINE-WISE ALLOCATION'!#REF!</definedName>
    <definedName name="LN" localSheetId="1">#REF!</definedName>
    <definedName name="LN">#REF!</definedName>
    <definedName name="LOAN" localSheetId="1">#REF!</definedName>
    <definedName name="LOAN">#REF!</definedName>
    <definedName name="LOAN_AJAJA" localSheetId="1">#REF!</definedName>
    <definedName name="LOAN_AJAJA">#REF!</definedName>
    <definedName name="Loan_Amount" localSheetId="1">#REF!</definedName>
    <definedName name="Loan_Amount">#REF!</definedName>
    <definedName name="loan_redemption_yr" localSheetId="1">[8]input!$R$16</definedName>
    <definedName name="loan_redemption_yr">[9]input!$R$16</definedName>
    <definedName name="Loan_Start" localSheetId="1">#REF!</definedName>
    <definedName name="Loan_Start">#REF!</definedName>
    <definedName name="Loan_term" localSheetId="1">[10]Assumptions!$C$16</definedName>
    <definedName name="Loan_term">[11]Assumptions!$C$16</definedName>
    <definedName name="Loan_Years" localSheetId="1">#REF!</definedName>
    <definedName name="Loan_Years">#REF!</definedName>
    <definedName name="LOAND" localSheetId="1">#REF!</definedName>
    <definedName name="LOAND">#REF!</definedName>
    <definedName name="LOC_A" localSheetId="1">[22]MAIN!$K$6</definedName>
    <definedName name="LOC_A">[23]MAIN!$K$6</definedName>
    <definedName name="LOC_B" localSheetId="1">[30]main!#REF!</definedName>
    <definedName name="LOC_B">[31]main!#REF!</definedName>
    <definedName name="LOC_C" localSheetId="1">[30]main!#REF!</definedName>
    <definedName name="LOC_C">[31]main!#REF!</definedName>
    <definedName name="lother">[15]Analysis!$N$27</definedName>
    <definedName name="louv1" localSheetId="1">#REF!</definedName>
    <definedName name="louv1">#REF!</definedName>
    <definedName name="lpanel">[15]Analysis!$N$26</definedName>
    <definedName name="LUMBER">[1]library!$D$281</definedName>
    <definedName name="lwire">[15]Analysis!$N$22</definedName>
    <definedName name="m" localSheetId="1">#REF!</definedName>
    <definedName name="m">#REF!</definedName>
    <definedName name="MAIN" localSheetId="1">#REF!</definedName>
    <definedName name="MAIN">#REF!</definedName>
    <definedName name="mason">[1]library!$D$4</definedName>
    <definedName name="MAT_DISC" localSheetId="1">#REF!</definedName>
    <definedName name="MAT_DISC">#REF!</definedName>
    <definedName name="Matls_perc" localSheetId="1">[20]Component1!$P$15</definedName>
    <definedName name="Matls_perc">[21]Component1!$P$15</definedName>
    <definedName name="mb" localSheetId="1">[12]Output!$D$51</definedName>
    <definedName name="mb">[13]Output!$D$51</definedName>
    <definedName name="MerrillPrintIt">#N/A</definedName>
    <definedName name="MESSAGE">[7]PAS!#REF!</definedName>
    <definedName name="MF" localSheetId="1">#REF!</definedName>
    <definedName name="MF">#REF!</definedName>
    <definedName name="misc" localSheetId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misc" localSheetId="2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misc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MKT_BOR_USD" localSheetId="1">#REF!</definedName>
    <definedName name="MKT_BOR_USD">#REF!</definedName>
    <definedName name="MLSS_Equip" localSheetId="1">#REF!</definedName>
    <definedName name="MLSS_Equip">#REF!</definedName>
    <definedName name="MLSS_Erec" localSheetId="1">#REF!</definedName>
    <definedName name="MLSS_Erec">#REF!</definedName>
    <definedName name="MON" localSheetId="1">#REF!</definedName>
    <definedName name="MON">#REF!</definedName>
    <definedName name="Months">[6]Provinces!$D$1:$D$12</definedName>
    <definedName name="MPLYWOOD">[1]library!$D$283</definedName>
    <definedName name="MSG_CELL">[7]PAS!#REF!</definedName>
    <definedName name="MSSGE" localSheetId="1">#REF!</definedName>
    <definedName name="MSSGE">#REF!</definedName>
    <definedName name="NACC2" localSheetId="1">#REF!</definedName>
    <definedName name="NACC2">#REF!</definedName>
    <definedName name="NAHAA" localSheetId="1">#REF!</definedName>
    <definedName name="NAHAA">#REF!</definedName>
    <definedName name="NAME" localSheetId="1">[10]Main!$E$2</definedName>
    <definedName name="NAME">[11]Main!$E$2</definedName>
    <definedName name="name_project" localSheetId="1">[8]input!$G$1</definedName>
    <definedName name="name_project">[9]input!$G$1</definedName>
    <definedName name="nck" localSheetId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k" localSheetId="2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k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localSheetId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localSheetId="2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ew" localSheetId="1">#REF!</definedName>
    <definedName name="new">#REF!</definedName>
    <definedName name="NewRange">#N/A</definedName>
    <definedName name="Newsprint.summary" localSheetId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Newsprint.summary" localSheetId="2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Newsprint.summary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NINE" localSheetId="1">#REF!</definedName>
    <definedName name="NINE">#REF!</definedName>
    <definedName name="NOPAS">[7]PAS!#REF!</definedName>
    <definedName name="NOPAS3">[7]PAS!#REF!</definedName>
    <definedName name="Num_Pmt_Per_Year" localSheetId="1">#REF!</definedName>
    <definedName name="Num_Pmt_Per_Year">#REF!</definedName>
    <definedName name="Number_of_Payments" localSheetId="1">MATCH(0.01,'BOHOL DEMAND PROJECTION'!End_Bal,-1)+1</definedName>
    <definedName name="Number_of_Payments" localSheetId="2">MATCH(0.01,End_Bal,-1)+1</definedName>
    <definedName name="Number_of_Payments">MATCH(0.01,End_Bal,-1)+1</definedName>
    <definedName name="O_M" localSheetId="1">#REF!</definedName>
    <definedName name="O_M">#REF!</definedName>
    <definedName name="OLD_MSG">[7]PAS!#REF!</definedName>
    <definedName name="OM" localSheetId="1">#REF!</definedName>
    <definedName name="OM">#REF!</definedName>
    <definedName name="ONE" localSheetId="1">#REF!</definedName>
    <definedName name="ONE">#REF!</definedName>
    <definedName name="Op_ex_rate" localSheetId="1">#REF!</definedName>
    <definedName name="Op_ex_rate">#REF!</definedName>
    <definedName name="OPERATION_COST" localSheetId="1">#REF!</definedName>
    <definedName name="OPERATION_COST">#REF!</definedName>
    <definedName name="other">[15]Analysis!$M$27</definedName>
    <definedName name="Output_List" localSheetId="1">#REF!</definedName>
    <definedName name="Output_List">#REF!</definedName>
    <definedName name="Output_Names" localSheetId="1">#REF!</definedName>
    <definedName name="Output_Names">#REF!</definedName>
    <definedName name="Output_No." localSheetId="1">#REF!</definedName>
    <definedName name="Output_No.">#REF!</definedName>
    <definedName name="p" localSheetId="1">{"External_Annual_Income",#N/A,FALSE,"External";"External_Quarterly_Income",#N/A,FALSE,"External"}</definedName>
    <definedName name="p" localSheetId="2">{"External_Annual_Income",#N/A,FALSE,"External";"External_Quarterly_Income",#N/A,FALSE,"External"}</definedName>
    <definedName name="p">{"External_Annual_Income",#N/A,FALSE,"External";"External_Quarterly_Income",#N/A,FALSE,"External"}</definedName>
    <definedName name="painter">[1]library!$D$19</definedName>
    <definedName name="panel">[15]Analysis!$M$26</definedName>
    <definedName name="PAS_MSG1">[7]PAS!#REF!</definedName>
    <definedName name="PAS_MSG2">[7]PAS!#REF!</definedName>
    <definedName name="PAS_MSG3">[7]PAS!#REF!</definedName>
    <definedName name="PAUSE">[7]PAS!#REF!</definedName>
    <definedName name="Pay_Date" localSheetId="1">#REF!</definedName>
    <definedName name="Pay_Date">#REF!</definedName>
    <definedName name="Pay_Num" localSheetId="1">#REF!</definedName>
    <definedName name="Pay_Num">#REF!</definedName>
    <definedName name="Payment_Date" localSheetId="1">DATE(YEAR('BOHOL DEMAND PROJECTION'!Loan_Start),MONTH('BOHOL DEMAND PROJECTION'!Loan_Start)+Payment_Number,DAY('BOHOL DEMAND PROJECTION'!Loan_Start))</definedName>
    <definedName name="Payment_Date" localSheetId="2">DATE(YEAR([0]!Loan_Start),MONTH([0]!Loan_Start)+Payment_Number,DAY([0]!Loan_Start))</definedName>
    <definedName name="Payment_Date">DATE(YEAR(Loan_Start),MONTH(Loan_Start)+Payment_Number,DAY(Loan_Start))</definedName>
    <definedName name="Phys_Cont" localSheetId="1">#REF!</definedName>
    <definedName name="Phys_Cont">#REF!</definedName>
    <definedName name="Physical_Contingency" localSheetId="1">#REF!</definedName>
    <definedName name="Physical_Contingency">#REF!</definedName>
    <definedName name="PLAZAS" localSheetId="1">[22]MAIN!$K$9</definedName>
    <definedName name="PLAZAS">[23]MAIN!$K$9</definedName>
    <definedName name="PM" localSheetId="1">#REF!</definedName>
    <definedName name="PM">#REF!</definedName>
    <definedName name="PMSG" localSheetId="1">#REF!</definedName>
    <definedName name="PMSG">#REF!</definedName>
    <definedName name="PNA_risk_rating" localSheetId="1">#REF!</definedName>
    <definedName name="PNA_risk_rating">#REF!</definedName>
    <definedName name="Population1" localSheetId="1">#REF!</definedName>
    <definedName name="Population1">#REF!</definedName>
    <definedName name="Princ" localSheetId="1">#REF!</definedName>
    <definedName name="Princ">#REF!</definedName>
    <definedName name="_xlnm.Print_Area" localSheetId="1">#REF!</definedName>
    <definedName name="_xlnm.Print_Area">#REF!</definedName>
    <definedName name="PRINT_AREA_MI" localSheetId="1">#REF!</definedName>
    <definedName name="PRINT_AREA_MI">#REF!</definedName>
    <definedName name="Print_Area_Reset" localSheetId="1">OFFSET('BOHOL DEMAND PROJECTION'!Full_Print,0,0,Last_Row)</definedName>
    <definedName name="Print_Area_Reset" localSheetId="2">OFFSET(Full_Print,0,0,Last_Row)</definedName>
    <definedName name="Print_Area_Reset">OFFSET(Full_Print,0,0,Last_Row)</definedName>
    <definedName name="PRINT_TITLES_MI" localSheetId="1">#REF!</definedName>
    <definedName name="PRINT_TITLES_MI">#REF!</definedName>
    <definedName name="PRINTALL" localSheetId="1">#REF!</definedName>
    <definedName name="PRINTALL">#REF!</definedName>
    <definedName name="PRINTMAIN" localSheetId="1">#REF!</definedName>
    <definedName name="PRINTMAIN">#REF!</definedName>
    <definedName name="Private_Interest_Rate" localSheetId="1">#REF!</definedName>
    <definedName name="Private_Interest_Rate">#REF!</definedName>
    <definedName name="PROFIT" localSheetId="1">#REF!</definedName>
    <definedName name="PROFIT">#REF!</definedName>
    <definedName name="Project" localSheetId="1">[26]ProjectInfo!$B$1</definedName>
    <definedName name="Project">[27]ProjectInfo!$B$1</definedName>
    <definedName name="Project_Name">'[32]Base Info'!$D$3</definedName>
    <definedName name="ProvRegions2">[6]Provinces!$B$2:$B$97</definedName>
    <definedName name="PUB_UserID">"MAYERX"</definedName>
    <definedName name="QFX_Price_Contingency_Matrix" localSheetId="1">#REF!</definedName>
    <definedName name="QFX_Price_Contingency_Matrix">#REF!</definedName>
    <definedName name="QFX_Rate_Adjustment" localSheetId="1">#REF!</definedName>
    <definedName name="QFX_Rate_Adjustment">#REF!</definedName>
    <definedName name="QLC_Price_Contingency_Matrix" localSheetId="1">#REF!</definedName>
    <definedName name="QLC_Price_Contingency_Matrix">#REF!</definedName>
    <definedName name="quar" localSheetId="1">'[12]Input sheet'!$D$92</definedName>
    <definedName name="quar">'[13]Input sheet'!$D$92</definedName>
    <definedName name="qw" localSheetId="1">#REF!</definedName>
    <definedName name="qw">#REF!</definedName>
    <definedName name="Rail_Industry_Beta" localSheetId="1">#REF!</definedName>
    <definedName name="Rail_Industry_Beta">#REF!</definedName>
    <definedName name="RATES" localSheetId="1">#REF!</definedName>
    <definedName name="RATES">#REF!</definedName>
    <definedName name="RedefinePrintTableRange">#N/A</definedName>
    <definedName name="redo" localSheetId="1">{#N/A,#N/A,FALSE,"ACQ_GRAPHS";#N/A,#N/A,FALSE,"T_1 GRAPHS";#N/A,#N/A,FALSE,"T_2 GRAPHS";#N/A,#N/A,FALSE,"COMB_GRAPHS"}</definedName>
    <definedName name="redo" localSheetId="2">{#N/A,#N/A,FALSE,"ACQ_GRAPHS";#N/A,#N/A,FALSE,"T_1 GRAPHS";#N/A,#N/A,FALSE,"T_2 GRAPHS";#N/A,#N/A,FALSE,"COMB_GRAPHS"}</definedName>
    <definedName name="redo">{#N/A,#N/A,FALSE,"ACQ_GRAPHS";#N/A,#N/A,FALSE,"T_1 GRAPHS";#N/A,#N/A,FALSE,"T_2 GRAPHS";#N/A,#N/A,FALSE,"COMB_GRAPHS"}</definedName>
    <definedName name="Report" localSheetId="1">{#N/A,#N/A,FALSE,"Report Print"}</definedName>
    <definedName name="Report" localSheetId="2">{#N/A,#N/A,FALSE,"Report Print"}</definedName>
    <definedName name="Report">{#N/A,#N/A,FALSE,"Report Print"}</definedName>
    <definedName name="ReportPage1" localSheetId="1">{"Annual_Income",#N/A,FALSE,"Report Page";"Balance_Cash_Flow",#N/A,FALSE,"Report Page";"Quarterly_Income",#N/A,FALSE,"Report Page"}</definedName>
    <definedName name="ReportPage1" localSheetId="2">{"Annual_Income",#N/A,FALSE,"Report Page";"Balance_Cash_Flow",#N/A,FALSE,"Report Page";"Quarterly_Income",#N/A,FALSE,"Report Page"}</definedName>
    <definedName name="ReportPage1">{"Annual_Income",#N/A,FALSE,"Report Page";"Balance_Cash_Flow",#N/A,FALSE,"Report Page";"Quarterly_Income",#N/A,FALSE,"Report Page"}</definedName>
    <definedName name="RES" localSheetId="1">#REF!</definedName>
    <definedName name="RES">#REF!</definedName>
    <definedName name="RESDIR">[7]PAS!#REF!</definedName>
    <definedName name="Reset_Phys_Cont" localSheetId="1">#REF!</definedName>
    <definedName name="Reset_Phys_Cont">#REF!</definedName>
    <definedName name="Resettlement" localSheetId="1">#REF!</definedName>
    <definedName name="Resettlement">#REF!</definedName>
    <definedName name="Restructuring" localSheetId="1">#REF!</definedName>
    <definedName name="Restructuring">#REF!</definedName>
    <definedName name="RESTYPE">[7]PAS!#REF!</definedName>
    <definedName name="RET" localSheetId="1">#REF!</definedName>
    <definedName name="RET">#REF!</definedName>
    <definedName name="return" localSheetId="1">#REF!</definedName>
    <definedName name="return">#REF!</definedName>
    <definedName name="Road_Industry_Beta" localSheetId="1">#REF!</definedName>
    <definedName name="Road_Industry_Beta">#REF!</definedName>
    <definedName name="roe" localSheetId="1">[12]Output!$D$50</definedName>
    <definedName name="roe">[13]Output!$D$50</definedName>
    <definedName name="RPLOAN" localSheetId="1">#REF!</definedName>
    <definedName name="RPLOAN">#REF!</definedName>
    <definedName name="RSVMENU">[7]PAS!#REF!</definedName>
    <definedName name="s">[7]PAS!#REF!</definedName>
    <definedName name="SAS" localSheetId="1">#REF!</definedName>
    <definedName name="SAS">#REF!</definedName>
    <definedName name="SAVE">[7]PAS!#REF!</definedName>
    <definedName name="SAVE_MSG">[7]PAS!#REF!</definedName>
    <definedName name="SAVED">[7]PAS!#REF!</definedName>
    <definedName name="SAVENGO">[7]PAS!#REF!</definedName>
    <definedName name="Scenarios" localSheetId="1">#REF!</definedName>
    <definedName name="Scenarios">#REF!</definedName>
    <definedName name="Sched_Pay" localSheetId="1">#REF!</definedName>
    <definedName name="Sched_Pay">#REF!</definedName>
    <definedName name="Scheduled_Extra_Payments" localSheetId="1">#REF!</definedName>
    <definedName name="Scheduled_Extra_Payments">#REF!</definedName>
    <definedName name="Scheduled_Interest_Rate" localSheetId="1">#REF!</definedName>
    <definedName name="Scheduled_Interest_Rate">#REF!</definedName>
    <definedName name="Scheduled_Monthly_Payment" localSheetId="1">#REF!</definedName>
    <definedName name="Scheduled_Monthly_Payment">#REF!</definedName>
    <definedName name="scratch" localSheetId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scratch" localSheetId="2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scratch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Section" localSheetId="1">[26]ProjectInfo!$B$2</definedName>
    <definedName name="Section">[27]ProjectInfo!$B$2</definedName>
    <definedName name="Service_fee" localSheetId="1">[10]Assumptions!$C$41</definedName>
    <definedName name="Service_fee">[11]Assumptions!$C$41</definedName>
    <definedName name="SEVEN" localSheetId="1">#REF!</definedName>
    <definedName name="SEVEN">#REF!</definedName>
    <definedName name="sharesout">[33]DCF_inputs!$F$21</definedName>
    <definedName name="SIX" localSheetId="1">#REF!</definedName>
    <definedName name="SIX">#REF!</definedName>
    <definedName name="solver_lin">0</definedName>
    <definedName name="solver_num">0</definedName>
    <definedName name="solver_typ">3</definedName>
    <definedName name="solver_val">0.6</definedName>
    <definedName name="SS" localSheetId="1">#REF!</definedName>
    <definedName name="SS">#REF!</definedName>
    <definedName name="sssss" localSheetId="1">#REF!</definedName>
    <definedName name="sssss">#REF!</definedName>
    <definedName name="Start_q" localSheetId="1">[10]Assumptions!$C$29</definedName>
    <definedName name="Start_q">[11]Assumptions!$C$29</definedName>
    <definedName name="START_TOLL" localSheetId="1">[30]assumptions!#REF!</definedName>
    <definedName name="START_TOLL">[31]assumptions!#REF!</definedName>
    <definedName name="Start_yr" localSheetId="1">[10]Assumptions!$C$28</definedName>
    <definedName name="Start_yr">[11]Assumptions!$C$28</definedName>
    <definedName name="startyr" localSheetId="1">[8]input!$R$7</definedName>
    <definedName name="startyr">[9]input!$R$7</definedName>
    <definedName name="strev" localSheetId="1">[8]input!$R$9</definedName>
    <definedName name="strev">[9]input!$R$9</definedName>
    <definedName name="Subsidy" localSheetId="1">[10]Assumptions!$C$32</definedName>
    <definedName name="Subsidy">[11]Assumptions!$C$32</definedName>
    <definedName name="Summary" localSheetId="1">#REF!</definedName>
    <definedName name="Summary">#REF!</definedName>
    <definedName name="SV">[1]library!$D$62</definedName>
    <definedName name="SW" localSheetId="1">#REF!</definedName>
    <definedName name="SW">#REF!</definedName>
    <definedName name="TA" localSheetId="1">#REF!</definedName>
    <definedName name="TA">#REF!</definedName>
    <definedName name="Table_5_Cat_wise_hard_cost" localSheetId="1">'[16]IDC LINE-WISE ALLOCATION'!$B$100:$K$112</definedName>
    <definedName name="Table_5_Cat_wise_hard_cost">'[17]IDC LINE-WISE ALLOCATION'!$B$100:$K$112</definedName>
    <definedName name="Table_5_Years" localSheetId="1">'[16]IDC LINE-WISE ALLOCATION'!$B$100:$K$100</definedName>
    <definedName name="Table_5_Years">'[17]IDC LINE-WISE ALLOCATION'!$B$100:$K$100</definedName>
    <definedName name="TAR" localSheetId="1">#REF!</definedName>
    <definedName name="TAR">#REF!</definedName>
    <definedName name="targetprice">[33]DCF_inputs!$F$22</definedName>
    <definedName name="Tariff_adj" localSheetId="1">[10]Assumptions!$C$35</definedName>
    <definedName name="Tariff_adj">[11]Assumptions!$C$35</definedName>
    <definedName name="TARIFF_REVENUES" localSheetId="1">#REF!</definedName>
    <definedName name="TARIFF_REVENUES">#REF!</definedName>
    <definedName name="Tariff_startyr" localSheetId="1">[10]Assumptions!$C$25</definedName>
    <definedName name="Tariff_startyr">[11]Assumptions!$C$25</definedName>
    <definedName name="tartr1" localSheetId="1">[12]Tariff!$D$374</definedName>
    <definedName name="tartr1">[13]Tariff!$D$374</definedName>
    <definedName name="tartr2" localSheetId="1">[12]Tariff!$D$384</definedName>
    <definedName name="tartr2">[13]Tariff!$D$384</definedName>
    <definedName name="tartr3" localSheetId="1">[12]Tariff!$D$394</definedName>
    <definedName name="tartr3">[13]Tariff!$D$394</definedName>
    <definedName name="tax" localSheetId="1">#REF!</definedName>
    <definedName name="tax">#REF!</definedName>
    <definedName name="Tax_Holiday" localSheetId="1">#REF!</definedName>
    <definedName name="Tax_Holiday">#REF!</definedName>
    <definedName name="Tax_rate" localSheetId="1">[10]Assumptions!$C$23</definedName>
    <definedName name="Tax_rate">[11]Assumptions!$C$23</definedName>
    <definedName name="Tax_rate_equity" localSheetId="1">[10]Assumptions!$C$24</definedName>
    <definedName name="Tax_rate_equity">[11]Assumptions!$C$24</definedName>
    <definedName name="TCredo" localSheetId="1">{#N/A,#N/A,FALSE,"ACQ_GRAPHS";#N/A,#N/A,FALSE,"T_1 GRAPHS";#N/A,#N/A,FALSE,"T_2 GRAPHS";#N/A,#N/A,FALSE,"COMB_GRAPHS"}</definedName>
    <definedName name="TCredo" localSheetId="2">{#N/A,#N/A,FALSE,"ACQ_GRAPHS";#N/A,#N/A,FALSE,"T_1 GRAPHS";#N/A,#N/A,FALSE,"T_2 GRAPHS";#N/A,#N/A,FALSE,"COMB_GRAPHS"}</definedName>
    <definedName name="TCredo">{#N/A,#N/A,FALSE,"ACQ_GRAPHS";#N/A,#N/A,FALSE,"T_1 GRAPHS";#N/A,#N/A,FALSE,"T_2 GRAPHS";#N/A,#N/A,FALSE,"COMB_GRAPHS"}</definedName>
    <definedName name="TCwrn" localSheetId="1">{#N/A,#N/A,FALSE,"INPUTS";#N/A,#N/A,FALSE,"PROFORMA BSHEET";#N/A,#N/A,FALSE,"COMBINED";#N/A,#N/A,FALSE,"ACQUIROR";#N/A,#N/A,FALSE,"TARGET 1";#N/A,#N/A,FALSE,"TARGET 2";#N/A,#N/A,FALSE,"HIGH YIELD";#N/A,#N/A,FALSE,"OVERFUND"}</definedName>
    <definedName name="TCwrn" localSheetId="2">{#N/A,#N/A,FALSE,"INPUTS";#N/A,#N/A,FALSE,"PROFORMA BSHEET";#N/A,#N/A,FALSE,"COMBINED";#N/A,#N/A,FALSE,"ACQUIROR";#N/A,#N/A,FALSE,"TARGET 1";#N/A,#N/A,FALSE,"TARGET 2";#N/A,#N/A,FALSE,"HIGH YIELD";#N/A,#N/A,FALSE,"OVERFUND"}</definedName>
    <definedName name="TCwrn">{#N/A,#N/A,FALSE,"INPUTS";#N/A,#N/A,FALSE,"PROFORMA BSHEET";#N/A,#N/A,FALSE,"COMBINED";#N/A,#N/A,FALSE,"ACQUIROR";#N/A,#N/A,FALSE,"TARGET 1";#N/A,#N/A,FALSE,"TARGET 2";#N/A,#N/A,FALSE,"HIGH YIELD";#N/A,#N/A,FALSE,"OVERFUND"}</definedName>
    <definedName name="TCwrn.comb" localSheetId="1">{#N/A,#N/A,FALSE,"INPUTS";#N/A,#N/A,FALSE,"PROFORMA BSHEET";#N/A,#N/A,FALSE,"COMBINED";#N/A,#N/A,FALSE,"HIGH YIELD";#N/A,#N/A,FALSE,"COMB_GRAPHS"}</definedName>
    <definedName name="TCwrn.comb" localSheetId="2">{#N/A,#N/A,FALSE,"INPUTS";#N/A,#N/A,FALSE,"PROFORMA BSHEET";#N/A,#N/A,FALSE,"COMBINED";#N/A,#N/A,FALSE,"HIGH YIELD";#N/A,#N/A,FALSE,"COMB_GRAPHS"}</definedName>
    <definedName name="TCwrn.comb">{#N/A,#N/A,FALSE,"INPUTS";#N/A,#N/A,FALSE,"PROFORMA BSHEET";#N/A,#N/A,FALSE,"COMBINED";#N/A,#N/A,FALSE,"HIGH YIELD";#N/A,#N/A,FALSE,"COMB_GRAPHS"}</definedName>
    <definedName name="TCwrn.graphs" localSheetId="1">{#N/A,#N/A,FALSE,"ACQ_GRAPHS";#N/A,#N/A,FALSE,"T_1 GRAPHS";#N/A,#N/A,FALSE,"T_2 GRAPHS";#N/A,#N/A,FALSE,"COMB_GRAPHS"}</definedName>
    <definedName name="TCwrn.graphs" localSheetId="2">{#N/A,#N/A,FALSE,"ACQ_GRAPHS";#N/A,#N/A,FALSE,"T_1 GRAPHS";#N/A,#N/A,FALSE,"T_2 GRAPHS";#N/A,#N/A,FALSE,"COMB_GRAPHS"}</definedName>
    <definedName name="TCwrn.graphs">{#N/A,#N/A,FALSE,"ACQ_GRAPHS";#N/A,#N/A,FALSE,"T_1 GRAPHS";#N/A,#N/A,FALSE,"T_2 GRAPHS";#N/A,#N/A,FALSE,"COMB_GRAPHS"}</definedName>
    <definedName name="TCwrn.val" localSheetId="1">{#N/A,#N/A,FALSE,"Valuation Assumptions";#N/A,#N/A,FALSE,"Summary";#N/A,#N/A,FALSE,"DCF";#N/A,#N/A,FALSE,"Valuation";#N/A,#N/A,FALSE,"WACC";#N/A,#N/A,FALSE,"UBVH";#N/A,#N/A,FALSE,"Free Cash Flow"}</definedName>
    <definedName name="TCwrn.val" localSheetId="2">{#N/A,#N/A,FALSE,"Valuation Assumptions";#N/A,#N/A,FALSE,"Summary";#N/A,#N/A,FALSE,"DCF";#N/A,#N/A,FALSE,"Valuation";#N/A,#N/A,FALSE,"WACC";#N/A,#N/A,FALSE,"UBVH";#N/A,#N/A,FALSE,"Free Cash Flow"}</definedName>
    <definedName name="TCwrn.val">{#N/A,#N/A,FALSE,"Valuation Assumptions";#N/A,#N/A,FALSE,"Summary";#N/A,#N/A,FALSE,"DCF";#N/A,#N/A,FALSE,"Valuation";#N/A,#N/A,FALSE,"WACC";#N/A,#N/A,FALSE,"UBVH";#N/A,#N/A,FALSE,"Free Cash Flow"}</definedName>
    <definedName name="TEMP">[7]PAS!#REF!</definedName>
    <definedName name="TEN" localSheetId="1">#REF!</definedName>
    <definedName name="TEN">#REF!</definedName>
    <definedName name="THREE" localSheetId="1">#REF!</definedName>
    <definedName name="THREE">#REF!</definedName>
    <definedName name="TLD" localSheetId="1">#REF!</definedName>
    <definedName name="TLD">#REF!</definedName>
    <definedName name="TOLL_INC" localSheetId="1">[30]assumptions!#REF!</definedName>
    <definedName name="TOLL_INC">[31]assumptions!#REF!</definedName>
    <definedName name="Total_Interest" localSheetId="1">#REF!</definedName>
    <definedName name="Total_Interest">#REF!</definedName>
    <definedName name="Total_Pay" localSheetId="1">#REF!</definedName>
    <definedName name="Total_Pay">#REF!</definedName>
    <definedName name="Total_Payment" localSheetId="1">Scheduled_Payment+Extra_Payment</definedName>
    <definedName name="Total_Payment" localSheetId="2">Scheduled_Payment+Extra_Payment</definedName>
    <definedName name="Total_Payment">Scheduled_Payment+Extra_Payment</definedName>
    <definedName name="Tourist_arrivals2019" localSheetId="1">[34]Revenue!$E$33</definedName>
    <definedName name="Tourist_arrivals2019">[35]Revenue!$E$33</definedName>
    <definedName name="tr" localSheetId="1">[12]Output!$D$48</definedName>
    <definedName name="tr">[13]Output!$D$48</definedName>
    <definedName name="troe" localSheetId="1">[12]Output!$D$49</definedName>
    <definedName name="troe">[13]Output!$D$49</definedName>
    <definedName name="TT" localSheetId="1">#REF!</definedName>
    <definedName name="TT">#REF!</definedName>
    <definedName name="TWO" localSheetId="1">#REF!</definedName>
    <definedName name="TWO">#REF!</definedName>
    <definedName name="UNIT" localSheetId="1">#REF!</definedName>
    <definedName name="UNIT">#REF!</definedName>
    <definedName name="Upfront_fee" localSheetId="1">[10]Assumptions!$C$17</definedName>
    <definedName name="Upfront_fee">[11]Assumptions!$C$17</definedName>
    <definedName name="US_Corporate_Yield" localSheetId="1">#REF!</definedName>
    <definedName name="US_Corporate_Yield">#REF!</definedName>
    <definedName name="US_Equity_Risk_Premium" localSheetId="1">#REF!</definedName>
    <definedName name="US_Equity_Risk_Premium">#REF!</definedName>
    <definedName name="US_Euromoney_Rating" localSheetId="1">#REF!</definedName>
    <definedName name="US_Euromoney_Rating">#REF!</definedName>
    <definedName name="US_Risk_Free_Rate" localSheetId="1">#REF!</definedName>
    <definedName name="US_Risk_Free_Rate">#REF!</definedName>
    <definedName name="US_small_stock_premium" localSheetId="1">#REF!</definedName>
    <definedName name="US_small_stock_premium">#REF!</definedName>
    <definedName name="USD_PHP_conv" localSheetId="1">[36]Component1!$D$31</definedName>
    <definedName name="USD_PHP_conv">[37]Component1!$D$31</definedName>
    <definedName name="UUU" localSheetId="1">#REF!</definedName>
    <definedName name="UUU">#REF!</definedName>
    <definedName name="Values_Entered" localSheetId="1">IF('BOHOL DEMAND PROJECTION'!Loan_Amount*'BOHOL DEMAND PROJECTION'!Interest_Rate*'BOHOL DEMAND PROJECTION'!Loan_Years*'BOHOL DEMAND PROJECTION'!Loan_Start&gt;0,1,0)</definedName>
    <definedName name="Values_Entered" localSheetId="2">IF(Loan_Amount*Interest_Rate*Loan_Years*Loan_Start&gt;0,1,0)</definedName>
    <definedName name="Values_Entered">IF(Loan_Amount*Interest_Rate*Loan_Years*Loan_Start&gt;0,1,0)</definedName>
    <definedName name="VAT" localSheetId="1">#REF!</definedName>
    <definedName name="VAT">#REF!</definedName>
    <definedName name="VGF" localSheetId="1">[10]Assumptions!$C$37</definedName>
    <definedName name="VGF">[11]Assumptions!$C$37</definedName>
    <definedName name="w" localSheetId="1">[38]Assumptions!#REF!</definedName>
    <definedName name="w">[39]Assumptions!#REF!</definedName>
    <definedName name="WAC" localSheetId="1">#REF!</definedName>
    <definedName name="WAC">#REF!</definedName>
    <definedName name="wacc" localSheetId="1">'[28]12. Fin Plan + WACC'!$C$14</definedName>
    <definedName name="wacc">'[29]12. Fin Plan + WACC'!$C$14</definedName>
    <definedName name="welder">[1]library!$D$10</definedName>
    <definedName name="WELROD">[1]library!$D$323</definedName>
    <definedName name="WIDTH" localSheetId="1">#REF!</definedName>
    <definedName name="WIDTH">#REF!</definedName>
    <definedName name="wire">[15]Analysis!$M$22</definedName>
    <definedName name="WL" localSheetId="1">#REF!</definedName>
    <definedName name="WL">#REF!</definedName>
    <definedName name="wrn.ALL." localSheetId="1">{#N/A,#N/A,FALSE,"INPUTS";#N/A,#N/A,FALSE,"PROFORMA BSHEET";#N/A,#N/A,FALSE,"COMBINED";#N/A,#N/A,FALSE,"ACQUIROR";#N/A,#N/A,FALSE,"TARGET 1";#N/A,#N/A,FALSE,"TARGET 2";#N/A,#N/A,FALSE,"HIGH YIELD";#N/A,#N/A,FALSE,"OVERFUND"}</definedName>
    <definedName name="wrn.ALL." localSheetId="2">{#N/A,#N/A,FALSE,"INPUTS";#N/A,#N/A,FALSE,"PROFORMA BSHEET";#N/A,#N/A,FALSE,"COMBINED";#N/A,#N/A,FALSE,"ACQUIROR";#N/A,#N/A,FALSE,"TARGET 1";#N/A,#N/A,FALSE,"TARGET 2";#N/A,#N/A,FALSE,"HIGH YIELD";#N/A,#N/A,FALSE,"OVERFUND"}</definedName>
    <definedName name="wrn.ALL.">{#N/A,#N/A,FALSE,"INPUTS";#N/A,#N/A,FALSE,"PROFORMA BSHEET";#N/A,#N/A,FALSE,"COMBINED";#N/A,#N/A,FALSE,"ACQUIROR";#N/A,#N/A,FALSE,"TARGET 1";#N/A,#N/A,FALSE,"TARGET 2";#N/A,#N/A,FALSE,"HIGH YIELD";#N/A,#N/A,FALSE,"OVERFUND"}</definedName>
    <definedName name="wrn.All._.Pages." localSheetId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localSheetId="2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ssumption._.Book." localSheetId="1">{#N/A,#N/A,FALSE,"Model Assumptions"}</definedName>
    <definedName name="wrn.Assumption._.Book." localSheetId="2">{#N/A,#N/A,FALSE,"Model Assumptions"}</definedName>
    <definedName name="wrn.Assumption._.Book.">{#N/A,#N/A,FALSE,"Model Assumptions"}</definedName>
    <definedName name="wrn.backup." localSheetId="1">{"financials",#N/A,FALSE,"BASIC";"interest",#N/A,FALSE,"BASIC";"leasing and financing",#N/A,FALSE,"BASIC";"returns back up",#N/A,FALSE,"BASIC"}</definedName>
    <definedName name="wrn.backup." localSheetId="2">{"financials",#N/A,FALSE,"BASIC";"interest",#N/A,FALSE,"BASIC";"leasing and financing",#N/A,FALSE,"BASIC";"returns back up",#N/A,FALSE,"BASIC"}</definedName>
    <definedName name="wrn.backup.">{"financials",#N/A,FALSE,"BASIC";"interest",#N/A,FALSE,"BASIC";"leasing and financing",#N/A,FALSE,"BASIC";"returns back up",#N/A,FALSE,"BASIC"}</definedName>
    <definedName name="wrn.bank._.model." localSheetId="1">{"banks",#N/A,FALSE,"BASIC"}</definedName>
    <definedName name="wrn.bank._.model." localSheetId="2">{"banks",#N/A,FALSE,"BASIC"}</definedName>
    <definedName name="wrn.bank._.model.">{"banks",#N/A,FALSE,"BASIC"}</definedName>
    <definedName name="wrn.client." localSheetId="1">{"multiple",#N/A,FALSE,"client";"margins",#N/A,FALSE,"client";"data",#N/A,FALSE,"client"}</definedName>
    <definedName name="wrn.client." localSheetId="2">{"multiple",#N/A,FALSE,"client";"margins",#N/A,FALSE,"client";"data",#N/A,FALSE,"client"}</definedName>
    <definedName name="wrn.client.">{"multiple",#N/A,FALSE,"client";"margins",#N/A,FALSE,"client";"data",#N/A,FALSE,"client"}</definedName>
    <definedName name="wrn.Client3." localSheetId="1">{"data",#N/A,FALSE,"client (3)";"margins",#N/A,FALSE,"client (3)";"multiple",#N/A,FALSE,"client (3)"}</definedName>
    <definedName name="wrn.Client3." localSheetId="2">{"data",#N/A,FALSE,"client (3)";"margins",#N/A,FALSE,"client (3)";"multiple",#N/A,FALSE,"client (3)"}</definedName>
    <definedName name="wrn.Client3.">{"data",#N/A,FALSE,"client (3)";"margins",#N/A,FALSE,"client (3)";"multiple",#N/A,FALSE,"client (3)"}</definedName>
    <definedName name="wrn.client4." localSheetId="1">{"multiple",#N/A,FALSE,"client (4)";"margins",#N/A,FALSE,"client (4)";"data",#N/A,FALSE,"client (4)"}</definedName>
    <definedName name="wrn.client4." localSheetId="2">{"multiple",#N/A,FALSE,"client (4)";"margins",#N/A,FALSE,"client (4)";"data",#N/A,FALSE,"client (4)"}</definedName>
    <definedName name="wrn.client4.">{"multiple",#N/A,FALSE,"client (4)";"margins",#N/A,FALSE,"client (4)";"data",#N/A,FALSE,"client (4)"}</definedName>
    <definedName name="wrn.COMBINED." localSheetId="1">{#N/A,#N/A,FALSE,"INPUTS";#N/A,#N/A,FALSE,"PROFORMA BSHEET";#N/A,#N/A,FALSE,"COMBINED";#N/A,#N/A,FALSE,"HIGH YIELD";#N/A,#N/A,FALSE,"COMB_GRAPHS"}</definedName>
    <definedName name="wrn.COMBINED." localSheetId="2">{#N/A,#N/A,FALSE,"INPUTS";#N/A,#N/A,FALSE,"PROFORMA BSHEET";#N/A,#N/A,FALSE,"COMBINED";#N/A,#N/A,FALSE,"HIGH YIELD";#N/A,#N/A,FALSE,"COMB_GRAPHS"}</definedName>
    <definedName name="wrn.COMBINED.">{#N/A,#N/A,FALSE,"INPUTS";#N/A,#N/A,FALSE,"PROFORMA BSHEET";#N/A,#N/A,FALSE,"COMBINED";#N/A,#N/A,FALSE,"HIGH YIELD";#N/A,#N/A,FALSE,"COMB_GRAPHS"}</definedName>
    <definedName name="wrn.CONSOLIDATION." localSheetId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" localSheetId="2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dcf." localSheetId="1">{"mgmt forecast",#N/A,FALSE,"Mgmt Forecast";"dcf table",#N/A,FALSE,"Mgmt Forecast";"sensitivity",#N/A,FALSE,"Mgmt Forecast";"table inputs",#N/A,FALSE,"Mgmt Forecast";"calculations",#N/A,FALSE,"Mgmt Forecast"}</definedName>
    <definedName name="wrn.dcf." localSheetId="2">{"mgmt forecast",#N/A,FALSE,"Mgmt Forecast";"dcf table",#N/A,FALSE,"Mgmt Forecast";"sensitivity",#N/A,FALSE,"Mgmt Forecast";"table inputs",#N/A,FALSE,"Mgmt Forecast";"calculations",#N/A,FALSE,"Mgmt Forecast"}</definedName>
    <definedName name="wrn.dcf.">{"mgmt forecast",#N/A,FALSE,"Mgmt Forecast";"dcf table",#N/A,FALSE,"Mgmt Forecast";"sensitivity",#N/A,FALSE,"Mgmt Forecast";"table inputs",#N/A,FALSE,"Mgmt Forecast";"calculations",#N/A,FALSE,"Mgmt Forecast"}</definedName>
    <definedName name="wrn.Earnings._.Model." localSheetId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2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D." localSheetId="1">{#N/A,#N/A,TRUE,"Equipment installation bm"}</definedName>
    <definedName name="wrn.ED." localSheetId="2">{#N/A,#N/A,TRUE,"Equipment installation bm"}</definedName>
    <definedName name="wrn.ED.">{#N/A,#N/A,TRUE,"Equipment installation bm"}</definedName>
    <definedName name="wrn.External." localSheetId="1">{"External_Annual_Income",#N/A,FALSE,"External";"External_Quarterly_Income",#N/A,FALSE,"External"}</definedName>
    <definedName name="wrn.External." localSheetId="2">{"External_Annual_Income",#N/A,FALSE,"External";"External_Quarterly_Income",#N/A,FALSE,"External"}</definedName>
    <definedName name="wrn.External.">{"External_Annual_Income",#N/A,FALSE,"External";"External_Quarterly_Income",#N/A,FALSE,"External"}</definedName>
    <definedName name="wrn.external.2" localSheetId="1">{"External_Annual_Income",#N/A,FALSE,"External";"External_Quarterly_Income",#N/A,FALSE,"External"}</definedName>
    <definedName name="wrn.external.2" localSheetId="2">{"External_Annual_Income",#N/A,FALSE,"External";"External_Quarterly_Income",#N/A,FALSE,"External"}</definedName>
    <definedName name="wrn.external.2">{"External_Annual_Income",#N/A,FALSE,"External";"External_Quarterly_Income",#N/A,FALSE,"External"}</definedName>
    <definedName name="wrn.Full._.report." localSheetId="1">{"multiple",#N/A,FALSE,"client (2)";"margins",#N/A,FALSE,"client (2)";"data",#N/A,FALSE,"client (2)";"multiple",#N/A,FALSE,"client";"margins",#N/A,FALSE,"client";"data",#N/A,FALSE,"client"}</definedName>
    <definedName name="wrn.Full._.report." localSheetId="2">{"multiple",#N/A,FALSE,"client (2)";"margins",#N/A,FALSE,"client (2)";"data",#N/A,FALSE,"client (2)";"multiple",#N/A,FALSE,"client";"margins",#N/A,FALSE,"client";"data",#N/A,FALSE,"client"}</definedName>
    <definedName name="wrn.Full._.report.">{"multiple",#N/A,FALSE,"client (2)";"margins",#N/A,FALSE,"client (2)";"data",#N/A,FALSE,"client (2)";"multiple",#N/A,FALSE,"client";"margins",#N/A,FALSE,"client";"data",#N/A,FALSE,"client"}</definedName>
    <definedName name="wrn.GRAPHS." localSheetId="1">{#N/A,#N/A,FALSE,"ACQ_GRAPHS";#N/A,#N/A,FALSE,"T_1 GRAPHS";#N/A,#N/A,FALSE,"T_2 GRAPHS";#N/A,#N/A,FALSE,"COMB_GRAPHS"}</definedName>
    <definedName name="wrn.GRAPHS." localSheetId="2">{#N/A,#N/A,FALSE,"ACQ_GRAPHS";#N/A,#N/A,FALSE,"T_1 GRAPHS";#N/A,#N/A,FALSE,"T_2 GRAPHS";#N/A,#N/A,FALSE,"COMB_GRAPHS"}</definedName>
    <definedName name="wrn.GRAPHS.">{#N/A,#N/A,FALSE,"ACQ_GRAPHS";#N/A,#N/A,FALSE,"T_1 GRAPHS";#N/A,#N/A,FALSE,"T_2 GRAPHS";#N/A,#N/A,FALSE,"COMB_GRAPHS"}</definedName>
    <definedName name="wrn.Income._.Statement." localSheetId="1">{#N/A,#N/A,FALSE,"Report Print"}</definedName>
    <definedName name="wrn.Income._.Statement." localSheetId="2">{#N/A,#N/A,FALSE,"Report Print"}</definedName>
    <definedName name="wrn.Income._.Statement.">{#N/A,#N/A,FALSE,"Report Print"}</definedName>
    <definedName name="wrn.IPIX." localSheetId="1">{#N/A,#N/A,FALSE,"Report Print"}</definedName>
    <definedName name="wrn.IPIX." localSheetId="2">{#N/A,#N/A,FALSE,"Report Print"}</definedName>
    <definedName name="wrn.IPIX.">{#N/A,#N/A,FALSE,"Report Print"}</definedName>
    <definedName name="wrn.IPO._.Valuation." localSheetId="1">{"assumptions",#N/A,FALSE,"Scenario 1";"valuation",#N/A,FALSE,"Scenario 1"}</definedName>
    <definedName name="wrn.IPO._.Valuation." localSheetId="2">{"assumptions",#N/A,FALSE,"Scenario 1";"valuation",#N/A,FALSE,"Scenario 1"}</definedName>
    <definedName name="wrn.IPO._.Valuation.">{"assumptions",#N/A,FALSE,"Scenario 1";"valuation",#N/A,FALSE,"Scenario 1"}</definedName>
    <definedName name="wrn.LBO._.Summary." localSheetId="1">{"LBO Summary",#N/A,FALSE,"Summary"}</definedName>
    <definedName name="wrn.LBO._.Summary." localSheetId="2">{"LBO Summary",#N/A,FALSE,"Summary"}</definedName>
    <definedName name="wrn.LBO._.Summary.">{"LBO Summary",#N/A,FALSE,"Summary"}</definedName>
    <definedName name="wrn.Main._.Report._.All._.Sections." localSheetId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" localSheetId="2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ster_Income." localSheetId="1">{"Annual_Income",#N/A,FALSE,"Master Model";"Quarterly_Income",#N/A,FALSE,"Master Model"}</definedName>
    <definedName name="wrn.Master_Income." localSheetId="2">{"Annual_Income",#N/A,FALSE,"Master Model";"Quarterly_Income",#N/A,FALSE,"Master Model"}</definedName>
    <definedName name="wrn.Master_Income.">{"Annual_Income",#N/A,FALSE,"Master Model";"Quarterly_Income",#N/A,FALSE,"Master Model"}</definedName>
    <definedName name="wrn.model." localSheetId="1">{"basic",#N/A,FALSE,"BASIC"}</definedName>
    <definedName name="wrn.model." localSheetId="2">{"basic",#N/A,FALSE,"BASIC"}</definedName>
    <definedName name="wrn.model.">{"basic",#N/A,FALSE,"BASIC"}</definedName>
    <definedName name="wrn.print." localSheetId="1">{#N/A,#N/A,TRUE,"Cover";#N/A,#N/A,TRUE,"Val Summary i";#N/A,#N/A,TRUE,"Value";#N/A,#N/A,TRUE,"Summary";#N/A,#N/A,TRUE,"Transactions"}</definedName>
    <definedName name="wrn.print." localSheetId="2">{#N/A,#N/A,TRUE,"Cover";#N/A,#N/A,TRUE,"Val Summary i";#N/A,#N/A,TRUE,"Value";#N/A,#N/A,TRUE,"Summary";#N/A,#N/A,TRUE,"Transactions"}</definedName>
    <definedName name="wrn.print.">{#N/A,#N/A,TRUE,"Cover";#N/A,#N/A,TRUE,"Val Summary i";#N/A,#N/A,TRUE,"Value";#N/A,#N/A,TRUE,"Summary";#N/A,#N/A,TRUE,"Transactions"}</definedName>
    <definedName name="wrn.Print._.All._.Pages." localSheetId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" localSheetId="2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1">{"cap_structure",#N/A,FALSE,"Graph-Mkt Cap";"price",#N/A,FALSE,"Graph-Price";"ebit",#N/A,FALSE,"Graph-EBITDA";"ebitda",#N/A,FALSE,"Graph-EBITDA"}</definedName>
    <definedName name="wrn.print._.graphs." localSheetId="2">{"cap_structure",#N/A,FALSE,"Graph-Mkt Cap";"price",#N/A,FALSE,"Graph-Price";"ebit",#N/A,FALSE,"Graph-EBITDA";"ebitda",#N/A,FALSE,"Graph-EBITDA"}</definedName>
    <definedName name="wrn.print._.graphs.">{"cap_structure",#N/A,FALSE,"Graph-Mkt Cap";"price",#N/A,FALSE,"Graph-Price";"ebit",#N/A,FALSE,"Graph-EBITDA";"ebitda",#N/A,FALSE,"Graph-EBITDA"}</definedName>
    <definedName name="wrn.Print._.Model." localSheetId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2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raw._.data._.entry." localSheetId="1">{"inputs raw data",#N/A,TRUE,"INPUT"}</definedName>
    <definedName name="wrn.print._.raw._.data._.entry." localSheetId="2">{"inputs raw data",#N/A,TRUE,"INPUT"}</definedName>
    <definedName name="wrn.print._.raw._.data._.entry.">{"inputs raw data",#N/A,TRUE,"INPUT"}</definedName>
    <definedName name="wrn.print._.summary._.sheets." localSheetId="1">{"summary1",#N/A,TRUE,"Comps";"summary2",#N/A,TRUE,"Comps";"summary3",#N/A,TRUE,"Comps"}</definedName>
    <definedName name="wrn.print._.summary._.sheets." localSheetId="2">{"summary1",#N/A,TRUE,"Comps";"summary2",#N/A,TRUE,"Comps";"summary3",#N/A,TRUE,"Comps"}</definedName>
    <definedName name="wrn.print._.summary._.sheets.">{"summary1",#N/A,TRUE,"Comps";"summary2",#N/A,TRUE,"Comps";"summary3",#N/A,TRUE,"Comps"}</definedName>
    <definedName name="wrn.Print._.whole._.Report." localSheetId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2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2." localSheetId="1">{#N/A,#N/A,TRUE,"Cover";#N/A,#N/A,TRUE,"Val Summary i";#N/A,#N/A,TRUE,"Value";#N/A,#N/A,TRUE,"Summary";#N/A,#N/A,TRUE,"Transactions"}</definedName>
    <definedName name="wrn.print2." localSheetId="2">{#N/A,#N/A,TRUE,"Cover";#N/A,#N/A,TRUE,"Val Summary i";#N/A,#N/A,TRUE,"Value";#N/A,#N/A,TRUE,"Summary";#N/A,#N/A,TRUE,"Transactions"}</definedName>
    <definedName name="wrn.print2.">{#N/A,#N/A,TRUE,"Cover";#N/A,#N/A,TRUE,"Val Summary i";#N/A,#N/A,TRUE,"Value";#N/A,#N/A,TRUE,"Summary";#N/A,#N/A,TRUE,"Transactions"}</definedName>
    <definedName name="wrn.rep_page." localSheetId="1">{"Annual_Income",#N/A,FALSE,"Report Page";"Balance_Cash_Flow",#N/A,FALSE,"Report Page";"Quarterly_Income",#N/A,FALSE,"Report Page"}</definedName>
    <definedName name="wrn.rep_page." localSheetId="2">{"Annual_Income",#N/A,FALSE,"Report Page";"Balance_Cash_Flow",#N/A,FALSE,"Report Page";"Quarterly_Income",#N/A,FALSE,"Report Page"}</definedName>
    <definedName name="wrn.rep_page.">{"Annual_Income",#N/A,FALSE,"Report Page";"Balance_Cash_Flow",#N/A,FALSE,"Report Page";"Quarterly_Income",#N/A,FALSE,"Report Page"}</definedName>
    <definedName name="wrn.Report_Page." localSheetId="1">{"Annual_Income",#N/A,FALSE,"Report Page";"Balance_Cash_Flow",#N/A,FALSE,"Report Page";"Quarterly_Income",#N/A,FALSE,"Report Page"}</definedName>
    <definedName name="wrn.Report_Page." localSheetId="2">{"Annual_Income",#N/A,FALSE,"Report Page";"Balance_Cash_Flow",#N/A,FALSE,"Report Page";"Quarterly_Income",#N/A,FALSE,"Report Page"}</definedName>
    <definedName name="wrn.Report_Page.">{"Annual_Income",#N/A,FALSE,"Report Page";"Balance_Cash_Flow",#N/A,FALSE,"Report Page";"Quarterly_Income",#N/A,FALSE,"Report Page"}</definedName>
    <definedName name="wrn.summary." localSheetId="1">{"financials",#N/A,FALSE,"BASIC"}</definedName>
    <definedName name="wrn.summary." localSheetId="2">{"financials",#N/A,FALSE,"BASIC"}</definedName>
    <definedName name="wrn.summary.">{"financials",#N/A,FALSE,"BASIC"}</definedName>
    <definedName name="wrn.Total._.Print." localSheetId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2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VALUATION." localSheetId="1">{#N/A,#N/A,FALSE,"Valuation Assumptions";#N/A,#N/A,FALSE,"Summary";#N/A,#N/A,FALSE,"DCF";#N/A,#N/A,FALSE,"Valuation";#N/A,#N/A,FALSE,"WACC";#N/A,#N/A,FALSE,"UBVH";#N/A,#N/A,FALSE,"Free Cash Flow"}</definedName>
    <definedName name="wrn.VALUATION." localSheetId="2">{#N/A,#N/A,FALSE,"Valuation Assumptions";#N/A,#N/A,FALSE,"Summary";#N/A,#N/A,FALSE,"DCF";#N/A,#N/A,FALSE,"Valuation";#N/A,#N/A,FALSE,"WACC";#N/A,#N/A,FALSE,"UBVH";#N/A,#N/A,FALSE,"Free Cash Flow"}</definedName>
    <definedName name="wrn.VALUATION.">{#N/A,#N/A,FALSE,"Valuation Assumptions";#N/A,#N/A,FALSE,"Summary";#N/A,#N/A,FALSE,"DCF";#N/A,#N/A,FALSE,"Valuation";#N/A,#N/A,FALSE,"WACC";#N/A,#N/A,FALSE,"UBVH";#N/A,#N/A,FALSE,"Free Cash Flow"}</definedName>
    <definedName name="wrn.Valuation._.Summaries." localSheetId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2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>{#N/A,#N/A,FALSE,"Cover Sheet";#N/A,#N/A,FALSE,"Financial Assumptions";#N/A,#N/A,FALSE,"DCFOverviewPower";#N/A,#N/A,FALSE,"DCFOverviewGas";#N/A,#N/A,FALSE,"DCFOverviewWater";#N/A,#N/A,FALSE,"DCFOverviewVersorgung"}</definedName>
    <definedName name="wrn.Versorgungs._.GmbH._.Data." localSheetId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2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vu.inputs._.raw._.data." localSheetId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2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2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2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" localSheetId="1">{#N/A,#N/A,FALSE,"Model Assumptions"}</definedName>
    <definedName name="X" localSheetId="2">{#N/A,#N/A,FALSE,"Model Assumptions"}</definedName>
    <definedName name="X">{#N/A,#N/A,FALSE,"Model Assumptions"}</definedName>
    <definedName name="xyz" localSheetId="1">#REF!</definedName>
    <definedName name="xyz">#REF!</definedName>
    <definedName name="YEAR" localSheetId="1">#REF!</definedName>
    <definedName name="YEAR">#REF!</definedName>
    <definedName name="Year_line_Contingency" localSheetId="1">#REF!</definedName>
    <definedName name="Year_line_Contingency">#REF!</definedName>
    <definedName name="Year_Qtr" localSheetId="1">'[16]Consolidated Investment Plan'!$F$4:$AG$4</definedName>
    <definedName name="Year_Qtr">'[17]Consolidated Investment Plan'!$F$4:$AG$4</definedName>
    <definedName name="Year_wise_exp_plan" localSheetId="1">#REF!</definedName>
    <definedName name="Year_wise_exp_plan">#REF!</definedName>
    <definedName name="Yearend">[33]DCF_inputs!$F$10</definedName>
    <definedName name="Years">[6]Provinces!$E$1:$E$20</definedName>
    <definedName name="Yr_Exp_Line" localSheetId="1">#REF!</definedName>
    <definedName name="Yr_Exp_Line">#REF!</definedName>
    <definedName name="Yr_Exp_Matrix" localSheetId="1">#REF!</definedName>
    <definedName name="Yr_Exp_Matrix">#REF!</definedName>
    <definedName name="Z_A94F367F_FFF8_11D4_A8F6_000021064BD9_.wvu.PrintTitles" localSheetId="1">'[40]Data Pembukaan_1.1'!$A:$A,'[40]Data Pembukaan_1.1'!$1:$11</definedName>
    <definedName name="Z_A94F367F_FFF8_11D4_A8F6_000021064BD9_.wvu.PrintTitles">'[41]Data Pembukaan_1.1'!$A:$A,'[41]Data Pembukaan_1.1'!$1:$11</definedName>
    <definedName name="Z_ED663580_E79C_11D4_8F0A_9E1BFDCDD17B_.wvu.PrintTitles" localSheetId="1">'[40]Data Pembukaan_1.1'!$A:$A,'[40]Data Pembukaan_1.1'!$1:$11</definedName>
    <definedName name="Z_ED663580_E79C_11D4_8F0A_9E1BFDCDD17B_.wvu.PrintTitles">'[41]Data Pembukaan_1.1'!$A:$A,'[41]Data Pembukaan_1.1'!$1:$11</definedName>
    <definedName name="Zones" localSheetId="1">#REF!</definedName>
    <definedName name="Zon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7" l="1"/>
  <c r="D21" i="5"/>
  <c r="E21" i="5"/>
  <c r="F21" i="5"/>
  <c r="G21" i="5"/>
  <c r="H21" i="5"/>
  <c r="L21" i="5"/>
  <c r="M21" i="5"/>
  <c r="N21" i="5"/>
  <c r="O21" i="5"/>
  <c r="K21" i="5"/>
  <c r="F15" i="5"/>
  <c r="G15" i="5"/>
  <c r="H15" i="5"/>
  <c r="H8" i="7"/>
  <c r="H9" i="7"/>
  <c r="H10" i="7"/>
  <c r="H6" i="7"/>
  <c r="I41" i="3"/>
  <c r="H7" i="7" s="1"/>
  <c r="B9" i="7"/>
  <c r="B10" i="7"/>
  <c r="B8" i="7"/>
  <c r="B6" i="7"/>
  <c r="B2" i="6"/>
  <c r="B41" i="3"/>
  <c r="B7" i="7" s="1"/>
  <c r="D23" i="3"/>
  <c r="E23" i="3" s="1"/>
  <c r="E22" i="3"/>
  <c r="F29" i="4" s="1"/>
  <c r="D22" i="3"/>
  <c r="E29" i="4" s="1"/>
  <c r="M25" i="4"/>
  <c r="E25" i="4"/>
  <c r="E21" i="4"/>
  <c r="F6" i="4"/>
  <c r="F20" i="4" s="1"/>
  <c r="G6" i="4"/>
  <c r="G20" i="4" s="1"/>
  <c r="H6" i="4"/>
  <c r="H20" i="4" s="1"/>
  <c r="I6" i="4"/>
  <c r="I20" i="4" s="1"/>
  <c r="J6" i="4"/>
  <c r="J20" i="4" s="1"/>
  <c r="K6" i="4"/>
  <c r="K20" i="4" s="1"/>
  <c r="L6" i="4"/>
  <c r="L20" i="4" s="1"/>
  <c r="M6" i="4"/>
  <c r="M20" i="4" s="1"/>
  <c r="N6" i="4"/>
  <c r="N20" i="4" s="1"/>
  <c r="F7" i="4"/>
  <c r="G7" i="4"/>
  <c r="H7" i="4"/>
  <c r="I7" i="4"/>
  <c r="J7" i="4"/>
  <c r="K7" i="4"/>
  <c r="L7" i="4"/>
  <c r="M7" i="4"/>
  <c r="N7" i="4"/>
  <c r="F8" i="4"/>
  <c r="F16" i="4" s="1"/>
  <c r="G8" i="4"/>
  <c r="G16" i="4" s="1"/>
  <c r="H8" i="4"/>
  <c r="H16" i="4" s="1"/>
  <c r="I8" i="4"/>
  <c r="I16" i="4" s="1"/>
  <c r="J8" i="4"/>
  <c r="J16" i="4" s="1"/>
  <c r="K8" i="4"/>
  <c r="K16" i="4" s="1"/>
  <c r="L8" i="4"/>
  <c r="L16" i="4" s="1"/>
  <c r="M8" i="4"/>
  <c r="M16" i="4" s="1"/>
  <c r="N8" i="4"/>
  <c r="N16" i="4" s="1"/>
  <c r="E7" i="4"/>
  <c r="E8" i="4"/>
  <c r="E16" i="4" s="1"/>
  <c r="E6" i="4"/>
  <c r="E20" i="4" s="1"/>
  <c r="F5" i="4"/>
  <c r="G5" i="4"/>
  <c r="H5" i="4"/>
  <c r="I5" i="4"/>
  <c r="J5" i="4"/>
  <c r="K5" i="4"/>
  <c r="L5" i="4"/>
  <c r="M5" i="4"/>
  <c r="N5" i="4"/>
  <c r="E5" i="4"/>
  <c r="I21" i="3"/>
  <c r="J21" i="3" s="1"/>
  <c r="K21" i="3" s="1"/>
  <c r="L21" i="3" s="1"/>
  <c r="M21" i="3" s="1"/>
  <c r="N25" i="4" s="1"/>
  <c r="D20" i="3"/>
  <c r="E20" i="3" s="1"/>
  <c r="F20" i="3" s="1"/>
  <c r="G20" i="3" s="1"/>
  <c r="H20" i="3" s="1"/>
  <c r="I25" i="4" s="1"/>
  <c r="D19" i="3"/>
  <c r="E19" i="3" s="1"/>
  <c r="F19" i="3" s="1"/>
  <c r="G19" i="3" s="1"/>
  <c r="H19" i="3" s="1"/>
  <c r="I19" i="3" s="1"/>
  <c r="J19" i="3" s="1"/>
  <c r="K19" i="3" s="1"/>
  <c r="L19" i="3" s="1"/>
  <c r="M19" i="3" s="1"/>
  <c r="N21" i="4" s="1"/>
  <c r="D18" i="3"/>
  <c r="E18" i="3" s="1"/>
  <c r="F18" i="3" s="1"/>
  <c r="G18" i="3" s="1"/>
  <c r="H18" i="3" s="1"/>
  <c r="I18" i="3" s="1"/>
  <c r="J18" i="3" s="1"/>
  <c r="K18" i="3" s="1"/>
  <c r="L18" i="3" s="1"/>
  <c r="M18" i="3" s="1"/>
  <c r="N17" i="4" s="1"/>
  <c r="D17" i="3"/>
  <c r="E17" i="3" s="1"/>
  <c r="F17" i="3" s="1"/>
  <c r="G17" i="3" s="1"/>
  <c r="H17" i="3" s="1"/>
  <c r="I17" i="3" s="1"/>
  <c r="J17" i="3" s="1"/>
  <c r="K17" i="3" s="1"/>
  <c r="L17" i="3" s="1"/>
  <c r="M17" i="3" s="1"/>
  <c r="N12" i="4" s="1"/>
  <c r="E16" i="3"/>
  <c r="F11" i="4" s="1"/>
  <c r="F16" i="3"/>
  <c r="G11" i="4" s="1"/>
  <c r="G16" i="3"/>
  <c r="H11" i="4" s="1"/>
  <c r="H16" i="3"/>
  <c r="I11" i="4" s="1"/>
  <c r="I16" i="3"/>
  <c r="J11" i="4" s="1"/>
  <c r="J16" i="3"/>
  <c r="K11" i="4" s="1"/>
  <c r="K16" i="3"/>
  <c r="L11" i="4" s="1"/>
  <c r="L16" i="3"/>
  <c r="M11" i="4" s="1"/>
  <c r="M16" i="3"/>
  <c r="N11" i="4" s="1"/>
  <c r="D16" i="3"/>
  <c r="E11" i="4" s="1"/>
  <c r="F33" i="4" l="1"/>
  <c r="F23" i="3"/>
  <c r="J25" i="4"/>
  <c r="E12" i="4"/>
  <c r="F22" i="3"/>
  <c r="H25" i="4"/>
  <c r="K25" i="4"/>
  <c r="E33" i="4"/>
  <c r="G25" i="4"/>
  <c r="L25" i="4"/>
  <c r="F25" i="4"/>
  <c r="E17" i="4"/>
  <c r="L12" i="4"/>
  <c r="F17" i="4"/>
  <c r="H21" i="4"/>
  <c r="K12" i="4"/>
  <c r="M17" i="4"/>
  <c r="G21" i="4"/>
  <c r="J12" i="4"/>
  <c r="L17" i="4"/>
  <c r="F21" i="4"/>
  <c r="I12" i="4"/>
  <c r="K17" i="4"/>
  <c r="M21" i="4"/>
  <c r="H12" i="4"/>
  <c r="J17" i="4"/>
  <c r="L21" i="4"/>
  <c r="G12" i="4"/>
  <c r="I17" i="4"/>
  <c r="K21" i="4"/>
  <c r="F12" i="4"/>
  <c r="H17" i="4"/>
  <c r="J21" i="4"/>
  <c r="M12" i="4"/>
  <c r="G17" i="4"/>
  <c r="I21" i="4"/>
  <c r="AD590" i="8"/>
  <c r="AD591" i="8" s="1"/>
  <c r="AC590" i="8"/>
  <c r="AC591" i="8" s="1"/>
  <c r="AF588" i="8"/>
  <c r="AG588" i="8" s="1"/>
  <c r="AE588" i="8"/>
  <c r="AE590" i="8" s="1"/>
  <c r="AE591" i="8" s="1"/>
  <c r="AE592" i="8" s="1"/>
  <c r="AR584" i="8"/>
  <c r="AQ584" i="8"/>
  <c r="AP584" i="8"/>
  <c r="AO584" i="8"/>
  <c r="AN584" i="8"/>
  <c r="AM584" i="8"/>
  <c r="AL584" i="8"/>
  <c r="AK584" i="8"/>
  <c r="AJ584" i="8"/>
  <c r="AI584" i="8"/>
  <c r="AH584" i="8"/>
  <c r="AG584" i="8"/>
  <c r="AF584" i="8"/>
  <c r="AD584" i="8"/>
  <c r="AC584" i="8"/>
  <c r="AC583" i="8"/>
  <c r="AR582" i="8"/>
  <c r="AQ582" i="8"/>
  <c r="AP582" i="8"/>
  <c r="AO582" i="8"/>
  <c r="AN582" i="8"/>
  <c r="AM582" i="8"/>
  <c r="AL582" i="8"/>
  <c r="AK582" i="8"/>
  <c r="AJ582" i="8"/>
  <c r="AI582" i="8"/>
  <c r="AH582" i="8"/>
  <c r="AG582" i="8"/>
  <c r="AF582" i="8"/>
  <c r="AD582" i="8"/>
  <c r="AC582" i="8"/>
  <c r="AD581" i="8"/>
  <c r="AC581" i="8"/>
  <c r="AD580" i="8"/>
  <c r="AC580" i="8"/>
  <c r="AD579" i="8"/>
  <c r="AC579" i="8"/>
  <c r="AD578" i="8"/>
  <c r="AC578" i="8"/>
  <c r="AD577" i="8"/>
  <c r="AC577" i="8"/>
  <c r="L10" i="7"/>
  <c r="K10" i="7"/>
  <c r="J10" i="7"/>
  <c r="G10" i="7"/>
  <c r="F10" i="7"/>
  <c r="E10" i="7"/>
  <c r="D10" i="7"/>
  <c r="C10" i="7"/>
  <c r="L9" i="7"/>
  <c r="J9" i="7"/>
  <c r="F9" i="7"/>
  <c r="E9" i="7"/>
  <c r="D9" i="7"/>
  <c r="L8" i="7"/>
  <c r="O35" i="5"/>
  <c r="N35" i="5"/>
  <c r="M35" i="5"/>
  <c r="L35" i="5"/>
  <c r="K35" i="5"/>
  <c r="D35" i="5"/>
  <c r="E34" i="5"/>
  <c r="E35" i="5" s="1"/>
  <c r="C19" i="5"/>
  <c r="I24" i="4"/>
  <c r="I23" i="4" s="1"/>
  <c r="H24" i="4"/>
  <c r="G24" i="4"/>
  <c r="G23" i="4" s="1"/>
  <c r="F24" i="4"/>
  <c r="F23" i="4" s="1"/>
  <c r="H23" i="4"/>
  <c r="E19" i="4"/>
  <c r="E10" i="4"/>
  <c r="N24" i="4"/>
  <c r="N23" i="4" s="1"/>
  <c r="M24" i="4"/>
  <c r="M23" i="4" s="1"/>
  <c r="L24" i="4"/>
  <c r="L23" i="4" s="1"/>
  <c r="K24" i="4"/>
  <c r="K23" i="4" s="1"/>
  <c r="J24" i="4"/>
  <c r="J23" i="4" s="1"/>
  <c r="E24" i="4"/>
  <c r="E23" i="4" s="1"/>
  <c r="F4" i="4"/>
  <c r="G4" i="4" s="1"/>
  <c r="H4" i="4" s="1"/>
  <c r="I4" i="4" s="1"/>
  <c r="J4" i="4" s="1"/>
  <c r="K4" i="4" s="1"/>
  <c r="L4" i="4" s="1"/>
  <c r="M4" i="4" s="1"/>
  <c r="N4" i="4" s="1"/>
  <c r="C94" i="1"/>
  <c r="C95" i="1" s="1"/>
  <c r="C88" i="1"/>
  <c r="C90" i="1" s="1"/>
  <c r="C93" i="1" s="1"/>
  <c r="AD82" i="1"/>
  <c r="V82" i="1"/>
  <c r="R82" i="1"/>
  <c r="G82" i="1"/>
  <c r="F82" i="1"/>
  <c r="E82" i="1"/>
  <c r="D82" i="1"/>
  <c r="G81" i="1"/>
  <c r="F81" i="1"/>
  <c r="E81" i="1"/>
  <c r="D81" i="1"/>
  <c r="AE80" i="1"/>
  <c r="AC80" i="1"/>
  <c r="W80" i="1"/>
  <c r="U80" i="1"/>
  <c r="R80" i="1"/>
  <c r="O80" i="1"/>
  <c r="M80" i="1"/>
  <c r="G80" i="1"/>
  <c r="F80" i="1"/>
  <c r="E80" i="1"/>
  <c r="D80" i="1"/>
  <c r="G79" i="1"/>
  <c r="F79" i="1"/>
  <c r="E79" i="1"/>
  <c r="D79" i="1"/>
  <c r="V78" i="1"/>
  <c r="J78" i="1"/>
  <c r="G78" i="1"/>
  <c r="F78" i="1"/>
  <c r="E78" i="1"/>
  <c r="D78" i="1"/>
  <c r="AE77" i="1"/>
  <c r="W77" i="1"/>
  <c r="O77" i="1"/>
  <c r="G77" i="1"/>
  <c r="F77" i="1"/>
  <c r="E77" i="1"/>
  <c r="D77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AG75" i="1"/>
  <c r="AG80" i="1" s="1"/>
  <c r="AF75" i="1"/>
  <c r="AF80" i="1" s="1"/>
  <c r="AE75" i="1"/>
  <c r="AE79" i="1" s="1"/>
  <c r="AD75" i="1"/>
  <c r="AD79" i="1" s="1"/>
  <c r="AC75" i="1"/>
  <c r="AC82" i="1" s="1"/>
  <c r="AB75" i="1"/>
  <c r="AB82" i="1" s="1"/>
  <c r="AA75" i="1"/>
  <c r="AA81" i="1" s="1"/>
  <c r="Z75" i="1"/>
  <c r="Z81" i="1" s="1"/>
  <c r="Y75" i="1"/>
  <c r="Y80" i="1" s="1"/>
  <c r="X75" i="1"/>
  <c r="X80" i="1" s="1"/>
  <c r="W75" i="1"/>
  <c r="W79" i="1" s="1"/>
  <c r="V75" i="1"/>
  <c r="V79" i="1" s="1"/>
  <c r="U75" i="1"/>
  <c r="U82" i="1" s="1"/>
  <c r="T75" i="1"/>
  <c r="T79" i="1" s="1"/>
  <c r="S75" i="1"/>
  <c r="S81" i="1" s="1"/>
  <c r="R75" i="1"/>
  <c r="R81" i="1" s="1"/>
  <c r="Q75" i="1"/>
  <c r="Q80" i="1" s="1"/>
  <c r="P75" i="1"/>
  <c r="P80" i="1" s="1"/>
  <c r="O75" i="1"/>
  <c r="O79" i="1" s="1"/>
  <c r="N75" i="1"/>
  <c r="N79" i="1" s="1"/>
  <c r="M75" i="1"/>
  <c r="M82" i="1" s="1"/>
  <c r="L75" i="1"/>
  <c r="L82" i="1" s="1"/>
  <c r="K75" i="1"/>
  <c r="K81" i="1" s="1"/>
  <c r="J75" i="1"/>
  <c r="J81" i="1" s="1"/>
  <c r="I75" i="1"/>
  <c r="I80" i="1" s="1"/>
  <c r="H75" i="1"/>
  <c r="H80" i="1" s="1"/>
  <c r="D68" i="1"/>
  <c r="G67" i="1"/>
  <c r="G66" i="1" s="1"/>
  <c r="AG66" i="1"/>
  <c r="AF66" i="1"/>
  <c r="AF70" i="1" s="1"/>
  <c r="AE66" i="1"/>
  <c r="AD66" i="1"/>
  <c r="AC66" i="1"/>
  <c r="AB66" i="1"/>
  <c r="AA66" i="1"/>
  <c r="Z66" i="1"/>
  <c r="Y66" i="1"/>
  <c r="X66" i="1"/>
  <c r="X70" i="1" s="1"/>
  <c r="W66" i="1"/>
  <c r="V66" i="1"/>
  <c r="U66" i="1"/>
  <c r="T66" i="1"/>
  <c r="S66" i="1"/>
  <c r="R66" i="1"/>
  <c r="Q66" i="1"/>
  <c r="P66" i="1"/>
  <c r="P70" i="1" s="1"/>
  <c r="O66" i="1"/>
  <c r="N66" i="1"/>
  <c r="M66" i="1"/>
  <c r="L66" i="1"/>
  <c r="K66" i="1"/>
  <c r="J66" i="1"/>
  <c r="I66" i="1"/>
  <c r="H66" i="1"/>
  <c r="F66" i="1"/>
  <c r="E66" i="1"/>
  <c r="D66" i="1"/>
  <c r="G65" i="1"/>
  <c r="G64" i="1" s="1"/>
  <c r="F65" i="1"/>
  <c r="F64" i="1" s="1"/>
  <c r="E65" i="1"/>
  <c r="E64" i="1" s="1"/>
  <c r="D65" i="1"/>
  <c r="D64" i="1" s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F63" i="1"/>
  <c r="F59" i="1" s="1"/>
  <c r="E63" i="1"/>
  <c r="E59" i="1" s="1"/>
  <c r="D63" i="1"/>
  <c r="D62" i="1"/>
  <c r="M61" i="1"/>
  <c r="M59" i="1" s="1"/>
  <c r="D61" i="1"/>
  <c r="D60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L59" i="1"/>
  <c r="K59" i="1"/>
  <c r="J59" i="1"/>
  <c r="I59" i="1"/>
  <c r="H59" i="1"/>
  <c r="G59" i="1"/>
  <c r="D59" i="1"/>
  <c r="D57" i="1"/>
  <c r="M57" i="1" s="1"/>
  <c r="F53" i="1"/>
  <c r="F52" i="1" s="1"/>
  <c r="E53" i="1"/>
  <c r="E52" i="1" s="1"/>
  <c r="D53" i="1"/>
  <c r="D52" i="1" s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L52" i="1"/>
  <c r="K52" i="1"/>
  <c r="J52" i="1"/>
  <c r="I52" i="1"/>
  <c r="H52" i="1"/>
  <c r="G52" i="1"/>
  <c r="D51" i="1"/>
  <c r="E50" i="1"/>
  <c r="D49" i="1"/>
  <c r="D47" i="1"/>
  <c r="G42" i="1"/>
  <c r="F42" i="1"/>
  <c r="E42" i="1"/>
  <c r="D42" i="1"/>
  <c r="E39" i="1"/>
  <c r="D39" i="1"/>
  <c r="G37" i="1"/>
  <c r="F37" i="1"/>
  <c r="E37" i="1"/>
  <c r="D37" i="1"/>
  <c r="G36" i="1"/>
  <c r="F36" i="1"/>
  <c r="E36" i="1"/>
  <c r="D36" i="1"/>
  <c r="G32" i="1"/>
  <c r="F32" i="1"/>
  <c r="E32" i="1"/>
  <c r="D32" i="1"/>
  <c r="E28" i="1"/>
  <c r="D28" i="1"/>
  <c r="F24" i="1"/>
  <c r="E24" i="1"/>
  <c r="D24" i="1"/>
  <c r="E20" i="1"/>
  <c r="F18" i="1"/>
  <c r="E18" i="1"/>
  <c r="G17" i="1"/>
  <c r="F17" i="1"/>
  <c r="E17" i="1"/>
  <c r="G16" i="1"/>
  <c r="F16" i="1"/>
  <c r="F13" i="1" s="1"/>
  <c r="G15" i="1"/>
  <c r="G13" i="1" s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L13" i="1"/>
  <c r="K13" i="1"/>
  <c r="J13" i="1"/>
  <c r="I13" i="1"/>
  <c r="H13" i="1"/>
  <c r="M12" i="1"/>
  <c r="M3" i="1" s="1"/>
  <c r="G8" i="1"/>
  <c r="G3" i="1" s="1"/>
  <c r="F8" i="1"/>
  <c r="AG3" i="1"/>
  <c r="AF3" i="1"/>
  <c r="AE3" i="1"/>
  <c r="AD3" i="1"/>
  <c r="AC3" i="1"/>
  <c r="AB3" i="1"/>
  <c r="AA3" i="1"/>
  <c r="AA70" i="1" s="1"/>
  <c r="Z3" i="1"/>
  <c r="Y3" i="1"/>
  <c r="X3" i="1"/>
  <c r="W3" i="1"/>
  <c r="V3" i="1"/>
  <c r="U3" i="1"/>
  <c r="T3" i="1"/>
  <c r="S3" i="1"/>
  <c r="S70" i="1" s="1"/>
  <c r="R3" i="1"/>
  <c r="Q3" i="1"/>
  <c r="P3" i="1"/>
  <c r="O3" i="1"/>
  <c r="N3" i="1"/>
  <c r="L3" i="1"/>
  <c r="K3" i="1"/>
  <c r="K70" i="1" s="1"/>
  <c r="J3" i="1"/>
  <c r="I3" i="1"/>
  <c r="H3" i="1"/>
  <c r="F3" i="1"/>
  <c r="E3" i="1"/>
  <c r="D3" i="1"/>
  <c r="G70" i="1" l="1"/>
  <c r="E37" i="6" s="1"/>
  <c r="E8" i="6" s="1"/>
  <c r="F8" i="6" s="1"/>
  <c r="G8" i="6" s="1"/>
  <c r="H8" i="6" s="1"/>
  <c r="I8" i="6" s="1"/>
  <c r="J8" i="6" s="1"/>
  <c r="K8" i="6" s="1"/>
  <c r="L8" i="6" s="1"/>
  <c r="M8" i="6" s="1"/>
  <c r="N8" i="6" s="1"/>
  <c r="O8" i="6" s="1"/>
  <c r="Q77" i="1"/>
  <c r="P81" i="1"/>
  <c r="I37" i="6"/>
  <c r="G10" i="3"/>
  <c r="T70" i="1"/>
  <c r="AB70" i="1"/>
  <c r="U70" i="1"/>
  <c r="AC70" i="1"/>
  <c r="Y78" i="1"/>
  <c r="Q81" i="1"/>
  <c r="L70" i="1"/>
  <c r="F84" i="1"/>
  <c r="X77" i="1"/>
  <c r="Z78" i="1"/>
  <c r="W81" i="1"/>
  <c r="Y82" i="1"/>
  <c r="N70" i="1"/>
  <c r="V70" i="1"/>
  <c r="AD70" i="1"/>
  <c r="E13" i="1"/>
  <c r="E70" i="1" s="1"/>
  <c r="C37" i="6" s="1"/>
  <c r="C6" i="6" s="1"/>
  <c r="D6" i="6" s="1"/>
  <c r="E6" i="6" s="1"/>
  <c r="F6" i="6" s="1"/>
  <c r="G6" i="6" s="1"/>
  <c r="H6" i="6" s="1"/>
  <c r="I6" i="6" s="1"/>
  <c r="J6" i="6" s="1"/>
  <c r="K6" i="6" s="1"/>
  <c r="L6" i="6" s="1"/>
  <c r="M6" i="6" s="1"/>
  <c r="N6" i="6" s="1"/>
  <c r="O6" i="6" s="1"/>
  <c r="G84" i="1"/>
  <c r="Y77" i="1"/>
  <c r="I78" i="1"/>
  <c r="AD78" i="1"/>
  <c r="V80" i="1"/>
  <c r="X81" i="1"/>
  <c r="Z82" i="1"/>
  <c r="G22" i="3"/>
  <c r="G29" i="4"/>
  <c r="J70" i="1"/>
  <c r="R70" i="1"/>
  <c r="Z70" i="1"/>
  <c r="I70" i="1"/>
  <c r="Q70" i="1"/>
  <c r="Y70" i="1"/>
  <c r="AG70" i="1"/>
  <c r="I77" i="1"/>
  <c r="AF77" i="1"/>
  <c r="N78" i="1"/>
  <c r="D84" i="1"/>
  <c r="J80" i="1"/>
  <c r="Z80" i="1"/>
  <c r="H81" i="1"/>
  <c r="AE81" i="1"/>
  <c r="J82" i="1"/>
  <c r="AG82" i="1"/>
  <c r="G23" i="3"/>
  <c r="G33" i="4"/>
  <c r="O70" i="1"/>
  <c r="W70" i="1"/>
  <c r="AE70" i="1"/>
  <c r="H70" i="1"/>
  <c r="N37" i="6"/>
  <c r="N16" i="6" s="1"/>
  <c r="O16" i="6" s="1"/>
  <c r="L10" i="3"/>
  <c r="H77" i="1"/>
  <c r="AG78" i="1"/>
  <c r="Y81" i="1"/>
  <c r="I82" i="1"/>
  <c r="D13" i="1"/>
  <c r="D70" i="1" s="1"/>
  <c r="AG77" i="1"/>
  <c r="Q78" i="1"/>
  <c r="E84" i="1"/>
  <c r="I81" i="1"/>
  <c r="AF81" i="1"/>
  <c r="N82" i="1"/>
  <c r="P77" i="1"/>
  <c r="R78" i="1"/>
  <c r="N80" i="1"/>
  <c r="AD80" i="1"/>
  <c r="O81" i="1"/>
  <c r="AG81" i="1"/>
  <c r="Q82" i="1"/>
  <c r="AG590" i="8"/>
  <c r="AG591" i="8" s="1"/>
  <c r="AG592" i="8" s="1"/>
  <c r="AH588" i="8"/>
  <c r="AF590" i="8"/>
  <c r="AF591" i="8" s="1"/>
  <c r="AF592" i="8" s="1"/>
  <c r="F34" i="5"/>
  <c r="G15" i="4"/>
  <c r="F15" i="4"/>
  <c r="N15" i="4"/>
  <c r="L15" i="4"/>
  <c r="E15" i="4"/>
  <c r="M15" i="4"/>
  <c r="J15" i="4"/>
  <c r="H15" i="4"/>
  <c r="I15" i="4"/>
  <c r="K15" i="4"/>
  <c r="AG84" i="1"/>
  <c r="Y84" i="1"/>
  <c r="M58" i="1"/>
  <c r="M52" i="1" s="1"/>
  <c r="F70" i="1"/>
  <c r="D37" i="6" s="1"/>
  <c r="D7" i="6" s="1"/>
  <c r="E7" i="6" s="1"/>
  <c r="F7" i="6" s="1"/>
  <c r="G7" i="6" s="1"/>
  <c r="H7" i="6" s="1"/>
  <c r="I7" i="6" s="1"/>
  <c r="J7" i="6" s="1"/>
  <c r="K7" i="6" s="1"/>
  <c r="L7" i="6" s="1"/>
  <c r="M7" i="6" s="1"/>
  <c r="N7" i="6" s="1"/>
  <c r="O7" i="6" s="1"/>
  <c r="Q84" i="1"/>
  <c r="C96" i="1"/>
  <c r="C98" i="1" s="1"/>
  <c r="M46" i="1" s="1"/>
  <c r="M13" i="1" s="1"/>
  <c r="K79" i="1"/>
  <c r="L77" i="1"/>
  <c r="T77" i="1"/>
  <c r="AB77" i="1"/>
  <c r="H79" i="1"/>
  <c r="H84" i="1" s="1"/>
  <c r="P79" i="1"/>
  <c r="X79" i="1"/>
  <c r="T81" i="1"/>
  <c r="M77" i="1"/>
  <c r="U77" i="1"/>
  <c r="AC77" i="1"/>
  <c r="O78" i="1"/>
  <c r="O84" i="1" s="1"/>
  <c r="W78" i="1"/>
  <c r="W84" i="1" s="1"/>
  <c r="AE78" i="1"/>
  <c r="I79" i="1"/>
  <c r="I84" i="1" s="1"/>
  <c r="Q79" i="1"/>
  <c r="Y79" i="1"/>
  <c r="AG79" i="1"/>
  <c r="K80" i="1"/>
  <c r="S80" i="1"/>
  <c r="AA80" i="1"/>
  <c r="M81" i="1"/>
  <c r="U81" i="1"/>
  <c r="AC81" i="1"/>
  <c r="O82" i="1"/>
  <c r="W82" i="1"/>
  <c r="AE82" i="1"/>
  <c r="AF79" i="1"/>
  <c r="L81" i="1"/>
  <c r="AB81" i="1"/>
  <c r="N77" i="1"/>
  <c r="V77" i="1"/>
  <c r="AD77" i="1"/>
  <c r="H78" i="1"/>
  <c r="P78" i="1"/>
  <c r="P84" i="1" s="1"/>
  <c r="X78" i="1"/>
  <c r="X84" i="1" s="1"/>
  <c r="AF78" i="1"/>
  <c r="AF84" i="1" s="1"/>
  <c r="J79" i="1"/>
  <c r="R79" i="1"/>
  <c r="Z79" i="1"/>
  <c r="L80" i="1"/>
  <c r="T80" i="1"/>
  <c r="AB80" i="1"/>
  <c r="N81" i="1"/>
  <c r="V81" i="1"/>
  <c r="AD81" i="1"/>
  <c r="H82" i="1"/>
  <c r="P82" i="1"/>
  <c r="X82" i="1"/>
  <c r="AF82" i="1"/>
  <c r="S79" i="1"/>
  <c r="L79" i="1"/>
  <c r="AB79" i="1"/>
  <c r="S78" i="1"/>
  <c r="M79" i="1"/>
  <c r="AC79" i="1"/>
  <c r="J77" i="1"/>
  <c r="R77" i="1"/>
  <c r="Z77" i="1"/>
  <c r="Z84" i="1" s="1"/>
  <c r="L78" i="1"/>
  <c r="T78" i="1"/>
  <c r="AB78" i="1"/>
  <c r="T82" i="1"/>
  <c r="AA79" i="1"/>
  <c r="K78" i="1"/>
  <c r="AA78" i="1"/>
  <c r="U79" i="1"/>
  <c r="K82" i="1"/>
  <c r="S82" i="1"/>
  <c r="AA82" i="1"/>
  <c r="K77" i="1"/>
  <c r="S77" i="1"/>
  <c r="AA77" i="1"/>
  <c r="M78" i="1"/>
  <c r="U78" i="1"/>
  <c r="AC78" i="1"/>
  <c r="C10" i="3" l="1"/>
  <c r="B37" i="6"/>
  <c r="B5" i="6" s="1"/>
  <c r="K84" i="1"/>
  <c r="AE84" i="1"/>
  <c r="N6" i="5"/>
  <c r="K4" i="7"/>
  <c r="F10" i="3"/>
  <c r="H37" i="6"/>
  <c r="H11" i="6" s="1"/>
  <c r="I11" i="6" s="1"/>
  <c r="J11" i="6" s="1"/>
  <c r="K11" i="6" s="1"/>
  <c r="L11" i="6" s="1"/>
  <c r="M11" i="6" s="1"/>
  <c r="N11" i="6" s="1"/>
  <c r="O11" i="6" s="1"/>
  <c r="F37" i="6"/>
  <c r="F9" i="6" s="1"/>
  <c r="G9" i="6" s="1"/>
  <c r="H9" i="6" s="1"/>
  <c r="I9" i="6" s="1"/>
  <c r="J9" i="6" s="1"/>
  <c r="K9" i="6" s="1"/>
  <c r="L9" i="6" s="1"/>
  <c r="M9" i="6" s="1"/>
  <c r="N9" i="6" s="1"/>
  <c r="O9" i="6" s="1"/>
  <c r="D10" i="3"/>
  <c r="H22" i="3"/>
  <c r="H29" i="4"/>
  <c r="G6" i="5"/>
  <c r="F4" i="7"/>
  <c r="J37" i="6"/>
  <c r="J12" i="6" s="1"/>
  <c r="K12" i="6" s="1"/>
  <c r="L12" i="6" s="1"/>
  <c r="M12" i="6" s="1"/>
  <c r="N12" i="6" s="1"/>
  <c r="O12" i="6" s="1"/>
  <c r="H10" i="3"/>
  <c r="K10" i="3"/>
  <c r="M37" i="6"/>
  <c r="M15" i="6" s="1"/>
  <c r="N15" i="6" s="1"/>
  <c r="O15" i="6" s="1"/>
  <c r="G37" i="6"/>
  <c r="G10" i="6" s="1"/>
  <c r="H10" i="6" s="1"/>
  <c r="I10" i="6" s="1"/>
  <c r="J10" i="6" s="1"/>
  <c r="K10" i="6" s="1"/>
  <c r="L10" i="6" s="1"/>
  <c r="M10" i="6" s="1"/>
  <c r="N10" i="6" s="1"/>
  <c r="O10" i="6" s="1"/>
  <c r="E10" i="3"/>
  <c r="L37" i="6"/>
  <c r="L14" i="6" s="1"/>
  <c r="M14" i="6" s="1"/>
  <c r="N14" i="6" s="1"/>
  <c r="O14" i="6" s="1"/>
  <c r="J10" i="3"/>
  <c r="O37" i="6"/>
  <c r="O17" i="6" s="1"/>
  <c r="M10" i="3"/>
  <c r="M70" i="1"/>
  <c r="H23" i="3"/>
  <c r="H33" i="4"/>
  <c r="AI588" i="8"/>
  <c r="AH590" i="8"/>
  <c r="AH591" i="8" s="1"/>
  <c r="AH592" i="8" s="1"/>
  <c r="G34" i="5"/>
  <c r="F35" i="5"/>
  <c r="E28" i="4"/>
  <c r="E27" i="4" s="1"/>
  <c r="F10" i="4"/>
  <c r="C72" i="1"/>
  <c r="N84" i="1"/>
  <c r="AC84" i="1"/>
  <c r="R84" i="1"/>
  <c r="U84" i="1"/>
  <c r="L84" i="1"/>
  <c r="C71" i="1"/>
  <c r="C73" i="1" s="1"/>
  <c r="AB84" i="1"/>
  <c r="AA84" i="1"/>
  <c r="J84" i="1"/>
  <c r="AD84" i="1"/>
  <c r="M84" i="1"/>
  <c r="T84" i="1"/>
  <c r="S84" i="1"/>
  <c r="V84" i="1"/>
  <c r="G4" i="7" l="1"/>
  <c r="H6" i="5"/>
  <c r="E4" i="7"/>
  <c r="F6" i="5"/>
  <c r="D4" i="7"/>
  <c r="D14" i="7" s="1"/>
  <c r="E6" i="5"/>
  <c r="L6" i="5"/>
  <c r="I4" i="7"/>
  <c r="I22" i="3"/>
  <c r="I29" i="4"/>
  <c r="O6" i="5"/>
  <c r="L4" i="7"/>
  <c r="D6" i="5"/>
  <c r="C4" i="7"/>
  <c r="C14" i="7" s="1"/>
  <c r="C5" i="6"/>
  <c r="B35" i="6"/>
  <c r="B36" i="6" s="1"/>
  <c r="B38" i="6" s="1"/>
  <c r="I33" i="4"/>
  <c r="I23" i="3"/>
  <c r="K37" i="6"/>
  <c r="K13" i="6" s="1"/>
  <c r="L13" i="6" s="1"/>
  <c r="M13" i="6" s="1"/>
  <c r="N13" i="6" s="1"/>
  <c r="O13" i="6" s="1"/>
  <c r="I10" i="3"/>
  <c r="M6" i="5"/>
  <c r="J4" i="7"/>
  <c r="C6" i="5"/>
  <c r="C39" i="3"/>
  <c r="B4" i="7"/>
  <c r="B14" i="7" s="1"/>
  <c r="B15" i="7" s="1"/>
  <c r="AJ588" i="8"/>
  <c r="AI590" i="8"/>
  <c r="AI591" i="8" s="1"/>
  <c r="AI592" i="8" s="1"/>
  <c r="H34" i="5"/>
  <c r="H35" i="5" s="1"/>
  <c r="G35" i="5"/>
  <c r="F19" i="4"/>
  <c r="F28" i="4" s="1"/>
  <c r="F27" i="4" s="1"/>
  <c r="G10" i="4"/>
  <c r="E32" i="4"/>
  <c r="E31" i="4" s="1"/>
  <c r="E35" i="4" s="1"/>
  <c r="D5" i="6" l="1"/>
  <c r="C35" i="6"/>
  <c r="C36" i="6" s="1"/>
  <c r="C38" i="6" s="1"/>
  <c r="C5" i="5"/>
  <c r="D5" i="5"/>
  <c r="E5" i="5" s="1"/>
  <c r="F5" i="5" s="1"/>
  <c r="G5" i="5" s="1"/>
  <c r="H5" i="5" s="1"/>
  <c r="C42" i="3"/>
  <c r="E15" i="5" s="1"/>
  <c r="C40" i="3"/>
  <c r="D15" i="5"/>
  <c r="C41" i="3"/>
  <c r="J33" i="4"/>
  <c r="J23" i="3"/>
  <c r="K6" i="5"/>
  <c r="I39" i="3"/>
  <c r="K15" i="5" s="1"/>
  <c r="L15" i="5" s="1"/>
  <c r="M15" i="5" s="1"/>
  <c r="N15" i="5" s="1"/>
  <c r="O15" i="5" s="1"/>
  <c r="H4" i="7"/>
  <c r="H14" i="7" s="1"/>
  <c r="H15" i="7" s="1"/>
  <c r="C15" i="7"/>
  <c r="D15" i="7" s="1"/>
  <c r="B18" i="7"/>
  <c r="B16" i="7"/>
  <c r="J29" i="4"/>
  <c r="J22" i="3"/>
  <c r="D11" i="5"/>
  <c r="AJ590" i="8"/>
  <c r="AJ591" i="8" s="1"/>
  <c r="AJ592" i="8" s="1"/>
  <c r="AK588" i="8"/>
  <c r="F32" i="4"/>
  <c r="F31" i="4" s="1"/>
  <c r="F35" i="4" s="1"/>
  <c r="H10" i="4"/>
  <c r="E37" i="4"/>
  <c r="D14" i="5" s="1"/>
  <c r="G19" i="4"/>
  <c r="G28" i="4" s="1"/>
  <c r="G27" i="4" s="1"/>
  <c r="C18" i="7" l="1"/>
  <c r="B17" i="7"/>
  <c r="B19" i="7" s="1"/>
  <c r="C16" i="7" s="1"/>
  <c r="E42" i="4" s="1"/>
  <c r="D12" i="5" s="1"/>
  <c r="H18" i="7"/>
  <c r="H16" i="7"/>
  <c r="J42" i="4" s="1"/>
  <c r="K12" i="5" s="1"/>
  <c r="K29" i="4"/>
  <c r="K22" i="3"/>
  <c r="K23" i="3"/>
  <c r="K33" i="4"/>
  <c r="E5" i="6"/>
  <c r="D35" i="6"/>
  <c r="D36" i="6" s="1"/>
  <c r="D38" i="6" s="1"/>
  <c r="E11" i="5"/>
  <c r="K5" i="5"/>
  <c r="G32" i="4"/>
  <c r="G31" i="4" s="1"/>
  <c r="G35" i="4" s="1"/>
  <c r="AL588" i="8"/>
  <c r="AK590" i="8"/>
  <c r="AK591" i="8" s="1"/>
  <c r="AK592" i="8" s="1"/>
  <c r="F37" i="4"/>
  <c r="E14" i="5" s="1"/>
  <c r="H19" i="4"/>
  <c r="H28" i="4" s="1"/>
  <c r="H27" i="4" s="1"/>
  <c r="I10" i="4"/>
  <c r="L33" i="4" l="1"/>
  <c r="L23" i="3"/>
  <c r="H17" i="7"/>
  <c r="H19" i="7" s="1"/>
  <c r="I16" i="7" s="1"/>
  <c r="I18" i="7"/>
  <c r="J18" i="7" s="1"/>
  <c r="L29" i="4"/>
  <c r="L22" i="3"/>
  <c r="F5" i="6"/>
  <c r="E35" i="6"/>
  <c r="E36" i="6" s="1"/>
  <c r="D18" i="7"/>
  <c r="C17" i="7"/>
  <c r="C19" i="7" s="1"/>
  <c r="D16" i="7" s="1"/>
  <c r="F42" i="4" s="1"/>
  <c r="E12" i="5" s="1"/>
  <c r="G37" i="4"/>
  <c r="F14" i="5" s="1"/>
  <c r="F11" i="5"/>
  <c r="L5" i="5"/>
  <c r="H32" i="4"/>
  <c r="H31" i="4" s="1"/>
  <c r="H35" i="4" s="1"/>
  <c r="H37" i="4" s="1"/>
  <c r="G14" i="5" s="1"/>
  <c r="AM588" i="8"/>
  <c r="AL590" i="8"/>
  <c r="AL591" i="8" s="1"/>
  <c r="AL592" i="8" s="1"/>
  <c r="I19" i="4"/>
  <c r="I28" i="4" s="1"/>
  <c r="I27" i="4" s="1"/>
  <c r="J10" i="4"/>
  <c r="C7" i="5" l="1"/>
  <c r="C8" i="5" s="1"/>
  <c r="E38" i="6"/>
  <c r="M29" i="4"/>
  <c r="M22" i="3"/>
  <c r="N29" i="4" s="1"/>
  <c r="G5" i="6"/>
  <c r="F35" i="6"/>
  <c r="E39" i="4" s="1"/>
  <c r="D13" i="5" s="1"/>
  <c r="K18" i="7"/>
  <c r="I17" i="7"/>
  <c r="I19" i="7" s="1"/>
  <c r="J16" i="7" s="1"/>
  <c r="J17" i="7" s="1"/>
  <c r="J19" i="7" s="1"/>
  <c r="K16" i="7" s="1"/>
  <c r="M23" i="3"/>
  <c r="N33" i="4" s="1"/>
  <c r="M33" i="4"/>
  <c r="D17" i="7"/>
  <c r="D19" i="7" s="1"/>
  <c r="E16" i="7" s="1"/>
  <c r="G42" i="4" s="1"/>
  <c r="F12" i="5" s="1"/>
  <c r="E18" i="7"/>
  <c r="G11" i="5"/>
  <c r="M5" i="5"/>
  <c r="AN588" i="8"/>
  <c r="AM590" i="8"/>
  <c r="AM591" i="8" s="1"/>
  <c r="AM592" i="8" s="1"/>
  <c r="K42" i="4"/>
  <c r="L12" i="5" s="1"/>
  <c r="K10" i="4"/>
  <c r="I32" i="4"/>
  <c r="I31" i="4" s="1"/>
  <c r="I35" i="4" s="1"/>
  <c r="J19" i="4"/>
  <c r="J28" i="4" s="1"/>
  <c r="J27" i="4" s="1"/>
  <c r="K17" i="7" l="1"/>
  <c r="K19" i="7" s="1"/>
  <c r="L16" i="7" s="1"/>
  <c r="L18" i="7"/>
  <c r="L17" i="7" s="1"/>
  <c r="L19" i="7" s="1"/>
  <c r="G35" i="6"/>
  <c r="F39" i="4" s="1"/>
  <c r="E13" i="5" s="1"/>
  <c r="H5" i="6"/>
  <c r="F18" i="7"/>
  <c r="E17" i="7"/>
  <c r="E19" i="7" s="1"/>
  <c r="F16" i="7" s="1"/>
  <c r="H42" i="4" s="1"/>
  <c r="G12" i="5" s="1"/>
  <c r="F36" i="6"/>
  <c r="H11" i="5"/>
  <c r="N5" i="5"/>
  <c r="AO588" i="8"/>
  <c r="AN590" i="8"/>
  <c r="AN591" i="8" s="1"/>
  <c r="AN592" i="8" s="1"/>
  <c r="L42" i="4"/>
  <c r="M12" i="5" s="1"/>
  <c r="I37" i="4"/>
  <c r="H14" i="5" s="1"/>
  <c r="J32" i="4"/>
  <c r="J31" i="4" s="1"/>
  <c r="J35" i="4" s="1"/>
  <c r="L10" i="4"/>
  <c r="K19" i="4"/>
  <c r="K28" i="4" s="1"/>
  <c r="K27" i="4" s="1"/>
  <c r="K32" i="4" s="1"/>
  <c r="K31" i="4" s="1"/>
  <c r="K35" i="4" s="1"/>
  <c r="L11" i="5" s="1"/>
  <c r="F38" i="6" l="1"/>
  <c r="G36" i="6"/>
  <c r="D7" i="5"/>
  <c r="D8" i="5" s="1"/>
  <c r="D18" i="5" s="1"/>
  <c r="E45" i="4" s="1"/>
  <c r="E48" i="4" s="1"/>
  <c r="G18" i="7"/>
  <c r="F17" i="7"/>
  <c r="F19" i="7" s="1"/>
  <c r="G16" i="7" s="1"/>
  <c r="I5" i="6"/>
  <c r="H35" i="6"/>
  <c r="G39" i="4" s="1"/>
  <c r="F13" i="5" s="1"/>
  <c r="I42" i="4"/>
  <c r="G17" i="7"/>
  <c r="G19" i="7" s="1"/>
  <c r="K11" i="5"/>
  <c r="O5" i="5"/>
  <c r="AO590" i="8"/>
  <c r="AO591" i="8" s="1"/>
  <c r="AO592" i="8" s="1"/>
  <c r="AP588" i="8"/>
  <c r="M42" i="4"/>
  <c r="N12" i="5" s="1"/>
  <c r="K37" i="4"/>
  <c r="L14" i="5" s="1"/>
  <c r="J37" i="4"/>
  <c r="K14" i="5" s="1"/>
  <c r="M10" i="4"/>
  <c r="N10" i="4"/>
  <c r="L19" i="4"/>
  <c r="L28" i="4" s="1"/>
  <c r="L27" i="4" s="1"/>
  <c r="J5" i="6" l="1"/>
  <c r="I35" i="6"/>
  <c r="H39" i="4" s="1"/>
  <c r="G13" i="5" s="1"/>
  <c r="H36" i="6"/>
  <c r="E7" i="5"/>
  <c r="E8" i="5" s="1"/>
  <c r="E18" i="5" s="1"/>
  <c r="F45" i="4" s="1"/>
  <c r="F48" i="4" s="1"/>
  <c r="G38" i="6"/>
  <c r="H12" i="5"/>
  <c r="AP590" i="8"/>
  <c r="AP591" i="8" s="1"/>
  <c r="AP592" i="8" s="1"/>
  <c r="AQ588" i="8"/>
  <c r="N42" i="4"/>
  <c r="O12" i="5" s="1"/>
  <c r="N19" i="4"/>
  <c r="N28" i="4" s="1"/>
  <c r="N27" i="4" s="1"/>
  <c r="M19" i="4"/>
  <c r="M28" i="4"/>
  <c r="M27" i="4" s="1"/>
  <c r="L32" i="4"/>
  <c r="L31" i="4" s="1"/>
  <c r="L35" i="4" s="1"/>
  <c r="K5" i="6" l="1"/>
  <c r="J35" i="6"/>
  <c r="I39" i="4" s="1"/>
  <c r="H13" i="5" s="1"/>
  <c r="H38" i="6"/>
  <c r="I36" i="6"/>
  <c r="F7" i="5"/>
  <c r="F8" i="5" s="1"/>
  <c r="F18" i="5" s="1"/>
  <c r="G45" i="4" s="1"/>
  <c r="G48" i="4" s="1"/>
  <c r="M11" i="5"/>
  <c r="AQ590" i="8"/>
  <c r="AQ591" i="8" s="1"/>
  <c r="AQ592" i="8" s="1"/>
  <c r="AR588" i="8"/>
  <c r="AR590" i="8" s="1"/>
  <c r="AR591" i="8" s="1"/>
  <c r="AR592" i="8" s="1"/>
  <c r="L37" i="4"/>
  <c r="M14" i="5" s="1"/>
  <c r="M32" i="4"/>
  <c r="M31" i="4" s="1"/>
  <c r="M35" i="4" s="1"/>
  <c r="N32" i="4"/>
  <c r="N31" i="4" s="1"/>
  <c r="N35" i="4" s="1"/>
  <c r="I38" i="6" l="1"/>
  <c r="G7" i="5"/>
  <c r="G8" i="5" s="1"/>
  <c r="G18" i="5" s="1"/>
  <c r="H45" i="4" s="1"/>
  <c r="H48" i="4" s="1"/>
  <c r="J36" i="6"/>
  <c r="K35" i="6"/>
  <c r="J39" i="4" s="1"/>
  <c r="K13" i="5" s="1"/>
  <c r="L5" i="6"/>
  <c r="N11" i="5"/>
  <c r="O11" i="5"/>
  <c r="M37" i="4"/>
  <c r="N14" i="5" s="1"/>
  <c r="N37" i="4"/>
  <c r="O14" i="5" s="1"/>
  <c r="J38" i="6" l="1"/>
  <c r="H7" i="5"/>
  <c r="H8" i="5" s="1"/>
  <c r="H18" i="5" s="1"/>
  <c r="I45" i="4" s="1"/>
  <c r="I48" i="4" s="1"/>
  <c r="K36" i="6"/>
  <c r="M5" i="6"/>
  <c r="L35" i="6"/>
  <c r="K39" i="4" s="1"/>
  <c r="L13" i="5" s="1"/>
  <c r="L36" i="6" l="1"/>
  <c r="K7" i="5"/>
  <c r="K8" i="5" s="1"/>
  <c r="K38" i="6"/>
  <c r="N5" i="6"/>
  <c r="M35" i="6"/>
  <c r="L39" i="4" s="1"/>
  <c r="M13" i="5" s="1"/>
  <c r="N35" i="6" l="1"/>
  <c r="M39" i="4" s="1"/>
  <c r="N13" i="5" s="1"/>
  <c r="O5" i="6"/>
  <c r="O35" i="6" s="1"/>
  <c r="N39" i="4" s="1"/>
  <c r="O13" i="5" s="1"/>
  <c r="K18" i="5"/>
  <c r="J45" i="4" s="1"/>
  <c r="J48" i="4" s="1"/>
  <c r="L7" i="5"/>
  <c r="L8" i="5" s="1"/>
  <c r="M36" i="6"/>
  <c r="L38" i="6"/>
  <c r="N36" i="6" l="1"/>
  <c r="M7" i="5"/>
  <c r="M8" i="5" s="1"/>
  <c r="M38" i="6"/>
  <c r="L18" i="5"/>
  <c r="K45" i="4" s="1"/>
  <c r="K48" i="4" s="1"/>
  <c r="M18" i="5" l="1"/>
  <c r="L45" i="4" s="1"/>
  <c r="L48" i="4" s="1"/>
  <c r="O36" i="6"/>
  <c r="N38" i="6"/>
  <c r="N7" i="5"/>
  <c r="N8" i="5" s="1"/>
  <c r="D16" i="5"/>
  <c r="N18" i="5" l="1"/>
  <c r="M45" i="4" s="1"/>
  <c r="M48" i="4" s="1"/>
  <c r="O38" i="6"/>
  <c r="O7" i="5"/>
  <c r="O8" i="5" s="1"/>
  <c r="E16" i="5"/>
  <c r="O18" i="5" l="1"/>
  <c r="N45" i="4" s="1"/>
  <c r="N48" i="4" s="1"/>
  <c r="F16" i="5"/>
  <c r="D19" i="5" l="1"/>
  <c r="G16" i="5"/>
  <c r="D22" i="5" l="1"/>
  <c r="D28" i="5"/>
  <c r="E19" i="5"/>
  <c r="H16" i="5"/>
  <c r="E28" i="5" l="1"/>
  <c r="E29" i="5" s="1"/>
  <c r="E30" i="5" s="1"/>
  <c r="E31" i="5" s="1"/>
  <c r="E32" i="5" s="1"/>
  <c r="E33" i="5" s="1"/>
  <c r="E22" i="5"/>
  <c r="D29" i="5"/>
  <c r="F19" i="5"/>
  <c r="K16" i="5"/>
  <c r="F22" i="5" l="1"/>
  <c r="F28" i="5"/>
  <c r="D30" i="5"/>
  <c r="G19" i="5"/>
  <c r="L16" i="5"/>
  <c r="K19" i="5" l="1"/>
  <c r="F29" i="5"/>
  <c r="H19" i="5"/>
  <c r="D31" i="5"/>
  <c r="G28" i="5"/>
  <c r="G29" i="5" s="1"/>
  <c r="G30" i="5" s="1"/>
  <c r="G31" i="5" s="1"/>
  <c r="G32" i="5" s="1"/>
  <c r="G33" i="5" s="1"/>
  <c r="G22" i="5"/>
  <c r="M16" i="5"/>
  <c r="H22" i="5" l="1"/>
  <c r="H28" i="5"/>
  <c r="F30" i="5"/>
  <c r="K22" i="5"/>
  <c r="K28" i="5"/>
  <c r="D32" i="5"/>
  <c r="O16" i="5"/>
  <c r="N16" i="5"/>
  <c r="D33" i="5" l="1"/>
  <c r="F31" i="5"/>
  <c r="H29" i="5"/>
  <c r="I28" i="5"/>
  <c r="K29" i="5"/>
  <c r="L19" i="5"/>
  <c r="L22" i="5" l="1"/>
  <c r="L28" i="5"/>
  <c r="H30" i="5"/>
  <c r="I29" i="5"/>
  <c r="K30" i="5"/>
  <c r="F32" i="5"/>
  <c r="M19" i="5"/>
  <c r="F33" i="5" l="1"/>
  <c r="M22" i="5"/>
  <c r="M28" i="5"/>
  <c r="M29" i="5" s="1"/>
  <c r="M30" i="5" s="1"/>
  <c r="M31" i="5" s="1"/>
  <c r="M32" i="5" s="1"/>
  <c r="M33" i="5" s="1"/>
  <c r="K31" i="5"/>
  <c r="L29" i="5"/>
  <c r="N19" i="5"/>
  <c r="H31" i="5"/>
  <c r="I30" i="5"/>
  <c r="L30" i="5" l="1"/>
  <c r="H32" i="5"/>
  <c r="I31" i="5"/>
  <c r="K32" i="5"/>
  <c r="O19" i="5"/>
  <c r="N28" i="5"/>
  <c r="N22" i="5"/>
  <c r="K33" i="5" l="1"/>
  <c r="O28" i="5"/>
  <c r="O29" i="5" s="1"/>
  <c r="O30" i="5" s="1"/>
  <c r="O31" i="5" s="1"/>
  <c r="O32" i="5" s="1"/>
  <c r="O33" i="5" s="1"/>
  <c r="O22" i="5"/>
  <c r="H33" i="5"/>
  <c r="I33" i="5" s="1"/>
  <c r="I32" i="5"/>
  <c r="N29" i="5"/>
  <c r="P28" i="5"/>
  <c r="L31" i="5"/>
  <c r="N30" i="5" l="1"/>
  <c r="P29" i="5"/>
  <c r="L32" i="5"/>
  <c r="L33" i="5" l="1"/>
  <c r="N31" i="5"/>
  <c r="P30" i="5"/>
  <c r="N32" i="5" l="1"/>
  <c r="P31" i="5"/>
  <c r="N33" i="5" l="1"/>
  <c r="P33" i="5" s="1"/>
  <c r="P3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 lacson</author>
    <author>tc={FD41CE91-D9BE-EA47-BC2F-D2D0127FDB73}</author>
    <author>tc={A5C7F2BD-D9F7-2E42-95BA-BF1B5D026E0D}</author>
    <author>tc={3978329D-0DA1-AE41-8F8F-4055DE07DD43}</author>
    <author>tc={1CD0F11A-9406-1749-8D4D-497B50ED4DDE}</author>
    <author>tc={9727BE7B-53CA-8546-879A-7FD7FDFB6D52}</author>
    <author>tc={E779EB1D-B638-754C-9BA7-B75498076A1E}</author>
    <author>tc={BFC58C56-0BCA-154B-BBE2-1CC7552EDB95}</author>
  </authors>
  <commentList>
    <comment ref="G15" authorId="0" shapeId="0" xr:uid="{B93E1696-B2DB-2140-8438-AE45B760460A}">
      <text>
        <r>
          <rPr>
            <b/>
            <sz val="9"/>
            <color indexed="81"/>
            <rFont val="Tahoma"/>
            <family val="2"/>
          </rPr>
          <t>chris lacson:</t>
        </r>
        <r>
          <rPr>
            <sz val="9"/>
            <color indexed="81"/>
            <rFont val="Tahoma"/>
            <family val="2"/>
          </rPr>
          <t xml:space="preserve">
moved 6 million to year 10
</t>
        </r>
      </text>
    </comment>
    <comment ref="F16" authorId="0" shapeId="0" xr:uid="{EB6475E9-184A-9C48-8CF0-A7164DEB6202}">
      <text>
        <r>
          <rPr>
            <b/>
            <sz val="9"/>
            <color indexed="81"/>
            <rFont val="Tahoma"/>
            <family val="2"/>
          </rPr>
          <t>chris lacson:</t>
        </r>
        <r>
          <rPr>
            <sz val="9"/>
            <color indexed="81"/>
            <rFont val="Tahoma"/>
            <family val="2"/>
          </rPr>
          <t xml:space="preserve">
moved 3 million tp year 10
</t>
        </r>
      </text>
    </comment>
    <comment ref="G16" authorId="0" shapeId="0" xr:uid="{4E5BED7F-AD25-6A47-8ABA-0AAE6AFB52E0}">
      <text>
        <r>
          <rPr>
            <b/>
            <sz val="9"/>
            <color indexed="81"/>
            <rFont val="Tahoma"/>
            <family val="2"/>
          </rPr>
          <t>chris lacson:</t>
        </r>
        <r>
          <rPr>
            <sz val="9"/>
            <color indexed="81"/>
            <rFont val="Tahoma"/>
            <family val="2"/>
          </rPr>
          <t xml:space="preserve">
moved 6 million to year 10</t>
        </r>
      </text>
    </comment>
    <comment ref="F17" authorId="0" shapeId="0" xr:uid="{7051E532-A7A6-FB47-AA13-CD18AFADFAAC}">
      <text>
        <r>
          <rPr>
            <b/>
            <sz val="9"/>
            <color indexed="81"/>
            <rFont val="Tahoma"/>
            <family val="2"/>
          </rPr>
          <t>chris lacson:</t>
        </r>
        <r>
          <rPr>
            <sz val="9"/>
            <color indexed="81"/>
            <rFont val="Tahoma"/>
            <family val="2"/>
          </rPr>
          <t xml:space="preserve">
moved 9m to year 10
</t>
        </r>
      </text>
    </comment>
    <comment ref="D32" authorId="1" shapeId="0" xr:uid="{FD41CE91-D9BE-EA47-BC2F-D2D0127FDB73}">
      <text>
        <t>[Threaded comment]
Your version of Excel allows you to read this threaded comment; however, any edits to it will get removed if the file is opened in a newer version of Excel. Learn more: https://go.microsoft.com/fwlink/?linkid=870924
Comment:
    60% is allocated for replacements</t>
      </text>
    </comment>
    <comment ref="D42" authorId="2" shapeId="0" xr:uid="{A5C7F2BD-D9F7-2E42-95BA-BF1B5D026E0D}">
      <text>
        <t>[Threaded comment]
Your version of Excel allows you to read this threaded comment; however, any edits to it will get removed if the file is opened in a newer version of Excel. Learn more: https://go.microsoft.com/fwlink/?linkid=870924
Comment:
    60% is allocated for replacements</t>
      </text>
    </comment>
    <comment ref="M46" authorId="3" shapeId="0" xr:uid="{3978329D-0DA1-AE41-8F8F-4055DE07DD43}">
      <text>
        <t>[Threaded comment]
Your version of Excel allows you to read this threaded comment; however, any edits to it will get removed if the file is opened in a newer version of Excel. Learn more: https://go.microsoft.com/fwlink/?linkid=870924
Comment:
    1000m3 capacity</t>
      </text>
    </comment>
    <comment ref="D49" authorId="4" shapeId="0" xr:uid="{1CD0F11A-9406-1749-8D4D-497B50ED4DDE}">
      <text>
        <t>[Threaded comment]
Your version of Excel allows you to read this threaded comment; however, any edits to it will get removed if the file is opened in a newer version of Excel. Learn more: https://go.microsoft.com/fwlink/?linkid=870924
Comment:
    Flow and pressure loggers, correlator</t>
      </text>
    </comment>
    <comment ref="E50" authorId="5" shapeId="0" xr:uid="{9727BE7B-53CA-8546-879A-7FD7FDFB6D52}">
      <text>
        <t>[Threaded comment]
Your version of Excel allows you to read this threaded comment; however, any edits to it will get removed if the file is opened in a newer version of Excel. Learn more: https://go.microsoft.com/fwlink/?linkid=870924
Comment:
    13 DMA’s initial</t>
      </text>
    </comment>
    <comment ref="D51" authorId="6" shapeId="0" xr:uid="{E779EB1D-B638-754C-9BA7-B75498076A1E}">
      <text>
        <t>[Threaded comment]
Your version of Excel allows you to read this threaded comment; however, any edits to it will get removed if the file is opened in a newer version of Excel. Learn more: https://go.microsoft.com/fwlink/?linkid=870924
Comment:
    Outsourced consultant, watergems or watercadd format</t>
      </text>
    </comment>
    <comment ref="M61" authorId="7" shapeId="0" xr:uid="{BFC58C56-0BCA-154B-BBE2-1CC7552EDB95}">
      <text>
        <t>[Threaded comment]
Your version of Excel allows you to read this threaded comment; however, any edits to it will get removed if the file is opened in a newer version of Excel. Learn more: https://go.microsoft.com/fwlink/?linkid=870924
Comment:
    SCADA CONNECT/Tanks</t>
      </text>
    </comment>
  </commentList>
</comments>
</file>

<file path=xl/sharedStrings.xml><?xml version="1.0" encoding="utf-8"?>
<sst xmlns="http://schemas.openxmlformats.org/spreadsheetml/2006/main" count="1515" uniqueCount="390">
  <si>
    <t>CAPEX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</si>
  <si>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</si>
  <si>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</si>
  <si>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</si>
  <si>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</si>
  <si>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</si>
  <si>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</si>
  <si>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</si>
  <si>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</si>
  <si>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</si>
  <si>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</si>
  <si>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</si>
  <si>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</si>
  <si>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</si>
  <si>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</si>
  <si>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</si>
  <si>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</si>
  <si>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</si>
  <si>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</si>
  <si>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</si>
  <si>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</si>
  <si>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</si>
  <si>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</si>
  <si>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</si>
  <si>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</si>
  <si>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</si>
  <si>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Year 26</t>
  </si>
  <si>
    <t>Year 27</t>
  </si>
  <si>
    <t>Year 28</t>
  </si>
  <si>
    <t>Year 29</t>
  </si>
  <si>
    <t>Year 30</t>
  </si>
  <si>
    <t>WATER SECURITY</t>
  </si>
  <si>
    <t>Water Source Development</t>
  </si>
  <si>
    <t>WTP and Facilities</t>
  </si>
  <si>
    <t>ROW and Land Acquisition</t>
  </si>
  <si>
    <t>Pump/Booster Stations</t>
  </si>
  <si>
    <t>New Booster Stations</t>
  </si>
  <si>
    <t>New Pump Stations</t>
  </si>
  <si>
    <t>New Well Development</t>
  </si>
  <si>
    <t>Existing Wells Rehab Works</t>
  </si>
  <si>
    <t>Well upkeep as reliability units (7 biggest well sources)</t>
  </si>
  <si>
    <t>SERVICE ACCESSIBILITY</t>
  </si>
  <si>
    <t>New Lines</t>
  </si>
  <si>
    <t>400mm Main Line from Offtake</t>
  </si>
  <si>
    <t>300mm Main Transmission line</t>
  </si>
  <si>
    <t>250mm Main Transmission Line</t>
  </si>
  <si>
    <t>200mm Main distribution lines and mainline extensions</t>
  </si>
  <si>
    <t>Pipe Replacements/Reinforcements</t>
  </si>
  <si>
    <t>150mm distribution lines</t>
  </si>
  <si>
    <t>Target Areas</t>
  </si>
  <si>
    <t>Tiptip</t>
  </si>
  <si>
    <t>Manga</t>
  </si>
  <si>
    <t>Ubujan</t>
  </si>
  <si>
    <t>100mm distribution lines</t>
  </si>
  <si>
    <t>75mm distribution lines</t>
  </si>
  <si>
    <t>50mm distribution lines</t>
  </si>
  <si>
    <t>Pipe appurtenances</t>
  </si>
  <si>
    <t>Restoration works</t>
  </si>
  <si>
    <t>Expansion of Coverage</t>
  </si>
  <si>
    <t>Cabawan</t>
  </si>
  <si>
    <t>San Isidro</t>
  </si>
  <si>
    <t>Reservoirs and Tanks</t>
  </si>
  <si>
    <t>New Tanks</t>
  </si>
  <si>
    <t>Rehab Works</t>
  </si>
  <si>
    <t>NRW Reduction/Maintenance</t>
  </si>
  <si>
    <t>Monitoring</t>
  </si>
  <si>
    <t>DMA Formation</t>
  </si>
  <si>
    <t>Calibrated hydraulic model</t>
  </si>
  <si>
    <t>SERVICE CONTINUITY</t>
  </si>
  <si>
    <t>Meter Replacement</t>
  </si>
  <si>
    <t>Lateral Lines/Interconnection of Lines</t>
  </si>
  <si>
    <t>Extension of Lines</t>
  </si>
  <si>
    <t>Asset Renewals</t>
  </si>
  <si>
    <t>Replacement of pump and motors</t>
  </si>
  <si>
    <t>Reliability projects</t>
  </si>
  <si>
    <t xml:space="preserve">EQUIPMENT AND OTHERS </t>
  </si>
  <si>
    <t>Fleet Management</t>
  </si>
  <si>
    <t>Automation</t>
  </si>
  <si>
    <t>Temporary Facilities</t>
  </si>
  <si>
    <t>Unplanned</t>
  </si>
  <si>
    <t>DED and Construction Supervision</t>
  </si>
  <si>
    <t>CONTINGENCIES</t>
  </si>
  <si>
    <t>Physical Contingencies</t>
  </si>
  <si>
    <t>ENVIRONMENTAL CHARGES</t>
  </si>
  <si>
    <t>TOTAL</t>
  </si>
  <si>
    <t>CUMULATIVE TOTAL</t>
  </si>
  <si>
    <t>NPV</t>
  </si>
  <si>
    <t>Variance from original</t>
  </si>
  <si>
    <t>including unit cost adjustment for HDPE</t>
  </si>
  <si>
    <t>Production Per year</t>
  </si>
  <si>
    <t>OPEX</t>
  </si>
  <si>
    <t>Cost/m3</t>
  </si>
  <si>
    <t>Power Cost</t>
  </si>
  <si>
    <t>Treatment Cost</t>
  </si>
  <si>
    <t>General and Admin</t>
  </si>
  <si>
    <t>Fleet</t>
  </si>
  <si>
    <t>Other Outside Services</t>
  </si>
  <si>
    <t>CSR</t>
  </si>
  <si>
    <t>Permits and licenses</t>
  </si>
  <si>
    <t>Tanks at Injection points</t>
  </si>
  <si>
    <t>Capacity</t>
  </si>
  <si>
    <t>Uptown</t>
  </si>
  <si>
    <t>Dao</t>
  </si>
  <si>
    <t>Bool</t>
  </si>
  <si>
    <t>Total</t>
  </si>
  <si>
    <t>m3</t>
  </si>
  <si>
    <t>Estimated Current tank capacity</t>
  </si>
  <si>
    <t>5th year demand, m3/day</t>
  </si>
  <si>
    <t>25% ADD</t>
  </si>
  <si>
    <t>Additional Storage Cap. Needed</t>
  </si>
  <si>
    <t>Say 3000m3</t>
  </si>
  <si>
    <t xml:space="preserve">Cost </t>
  </si>
  <si>
    <t>OPERATIONAL EXPENDITURE (OPEX) &amp; ANNUAL REQUIRED REVENUE (ARR)</t>
  </si>
  <si>
    <t>TAGBILARAN</t>
  </si>
  <si>
    <t>CONSTRCTN PRD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</si>
  <si>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</si>
  <si>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</si>
  <si>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</si>
  <si>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</si>
  <si>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</si>
  <si>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</si>
  <si>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</si>
  <si>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</si>
  <si>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</si>
  <si>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</si>
  <si>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2026-2029</t>
  </si>
  <si>
    <t>No. of Service Connection</t>
  </si>
  <si>
    <t>DW, m3</t>
  </si>
  <si>
    <t>PWSP, M3</t>
  </si>
  <si>
    <t>BBWSP, M3</t>
  </si>
  <si>
    <t>SALARIES</t>
  </si>
  <si>
    <t>Number of manpower</t>
  </si>
  <si>
    <t>Average Salary</t>
  </si>
  <si>
    <t>13 months</t>
  </si>
  <si>
    <t>Inflation</t>
  </si>
  <si>
    <t xml:space="preserve"> </t>
  </si>
  <si>
    <t>POWER Cost (Booster)+PWSP</t>
  </si>
  <si>
    <t xml:space="preserve">Production in m3 </t>
  </si>
  <si>
    <t>Unit cost Php/M3</t>
  </si>
  <si>
    <t>CHEMICAL Cost</t>
  </si>
  <si>
    <t>Production in m3</t>
  </si>
  <si>
    <t>Unit Cost Php/m3</t>
  </si>
  <si>
    <t>BULK WATER PURCHASE</t>
  </si>
  <si>
    <t>BBWPS</t>
  </si>
  <si>
    <t>Bulk Rate</t>
  </si>
  <si>
    <t>MISC and Other O&amp;M</t>
  </si>
  <si>
    <t xml:space="preserve"> Operational Expense</t>
  </si>
  <si>
    <t>SERVICE FEE</t>
  </si>
  <si>
    <t>Operational Expense</t>
  </si>
  <si>
    <t>TOTAL OPEX</t>
  </si>
  <si>
    <t>2-MONTHS WORKING CAPITAL</t>
  </si>
  <si>
    <t>DEPRECIATION</t>
  </si>
  <si>
    <t>AMORTIZATION / INTEREST EXPENSE</t>
  </si>
  <si>
    <t>ALLOWABLE RETURN ON INVESTMENT</t>
  </si>
  <si>
    <t>TOTAL ANNUAL REQUIRED REVENUE</t>
  </si>
  <si>
    <t>TAGBILARAN WATERWORKS</t>
  </si>
  <si>
    <t>1st Regulatory Period (1RP)</t>
  </si>
  <si>
    <t>ASSUMPTIONS</t>
  </si>
  <si>
    <t>YEAR 1       (2030)</t>
  </si>
  <si>
    <t>YEAR 2      (2031)</t>
  </si>
  <si>
    <t>YEAR 3      (2032)</t>
  </si>
  <si>
    <t>YEAR 4      (2033)</t>
  </si>
  <si>
    <t>YEAR 5      (2034)</t>
  </si>
  <si>
    <t>YEAR 6            (2035)</t>
  </si>
  <si>
    <t>YEAR 7      (2036)</t>
  </si>
  <si>
    <t>YEAR 8      (2037)</t>
  </si>
  <si>
    <t>YEAR 9      (2038)</t>
  </si>
  <si>
    <t>YEAR 10     (2039)</t>
  </si>
  <si>
    <t>Property and Equipment, Beg,</t>
  </si>
  <si>
    <t>New Investment</t>
  </si>
  <si>
    <t>Annual Acc Depreciation</t>
  </si>
  <si>
    <t>ADD: Working Capital</t>
  </si>
  <si>
    <t xml:space="preserve">  OPEX</t>
  </si>
  <si>
    <t xml:space="preserve">  DEPRECIATION</t>
  </si>
  <si>
    <t xml:space="preserve">  2-months WORKING CAPITAL</t>
  </si>
  <si>
    <t xml:space="preserve">  EQUITY</t>
  </si>
  <si>
    <t>MAXIMUN ALLOWABLE ROI</t>
  </si>
  <si>
    <t>MAXIMUM ALLOWABLE REVENUE</t>
  </si>
  <si>
    <t>VOLUME SOLD M3</t>
  </si>
  <si>
    <t>REQUIRED TARIFF (Php/m3)</t>
  </si>
  <si>
    <t>PROPOSED TARIFF</t>
  </si>
  <si>
    <t>Proposed Tariff</t>
  </si>
  <si>
    <t>YEAR1</t>
  </si>
  <si>
    <t>YEAR2</t>
  </si>
  <si>
    <t>YEAR3</t>
  </si>
  <si>
    <t>YEAR4</t>
  </si>
  <si>
    <t>YEAR5</t>
  </si>
  <si>
    <t>AVERAGE</t>
  </si>
  <si>
    <t>Minimuim Charge 0-10m3</t>
  </si>
  <si>
    <t>Commodity Charge 11-20 per m3</t>
  </si>
  <si>
    <t xml:space="preserve">                             21-30 per m3</t>
  </si>
  <si>
    <t xml:space="preserve">                             31-40 per m3</t>
  </si>
  <si>
    <t xml:space="preserve">                             41-50 per m3</t>
  </si>
  <si>
    <t xml:space="preserve">                             51-up per m3</t>
  </si>
  <si>
    <t>Increase per block</t>
  </si>
  <si>
    <t>TAGBILARAN WATER WORKS</t>
  </si>
  <si>
    <t>Economic Life</t>
  </si>
  <si>
    <t>Annual Depreciation</t>
  </si>
  <si>
    <t>Construction Period (2026-2029)</t>
  </si>
  <si>
    <t>Year 1 (2030)</t>
  </si>
  <si>
    <t>Accumulated Depreciation</t>
  </si>
  <si>
    <t>PPE</t>
  </si>
  <si>
    <t>CONSTRUCTION PERIOD            (2026-2029)</t>
  </si>
  <si>
    <t>Tenor:</t>
  </si>
  <si>
    <t xml:space="preserve">   Loan</t>
  </si>
  <si>
    <t xml:space="preserve">   Grant</t>
  </si>
  <si>
    <t xml:space="preserve">   Equity</t>
  </si>
  <si>
    <t xml:space="preserve">   Interest Rate</t>
  </si>
  <si>
    <t xml:space="preserve">   Repayment Period</t>
  </si>
  <si>
    <t>Loan 1 (Year2)</t>
  </si>
  <si>
    <t>Loan</t>
  </si>
  <si>
    <t>TOTAL Loan</t>
  </si>
  <si>
    <t>Interest Expense</t>
  </si>
  <si>
    <t>Principal Repayment</t>
  </si>
  <si>
    <t>Debt Service</t>
  </si>
  <si>
    <t>Outstanding Loan</t>
  </si>
  <si>
    <t>Demand Projection</t>
  </si>
  <si>
    <t xml:space="preserve">POPULATION </t>
  </si>
  <si>
    <t>City/Municipality</t>
  </si>
  <si>
    <t>WSPs</t>
  </si>
  <si>
    <t>Alburquerque</t>
  </si>
  <si>
    <t>LGU-run, BLGU-run</t>
  </si>
  <si>
    <t>Baclayon</t>
  </si>
  <si>
    <t>LGU-run, BWUI, BLGU-run</t>
  </si>
  <si>
    <t>Corella</t>
  </si>
  <si>
    <t>LGU-run</t>
  </si>
  <si>
    <t>Dauis</t>
  </si>
  <si>
    <t>LGU-run, BLGU-run, Richli, Balibago, BWUI (bulk)</t>
  </si>
  <si>
    <t>Loboc</t>
  </si>
  <si>
    <t>Panglao</t>
  </si>
  <si>
    <t>LGU-run, BLGU-run, Richli, Balibago, Mactan Rock, Abejo</t>
  </si>
  <si>
    <t>Sikatuna</t>
  </si>
  <si>
    <t>Tagbilaran City</t>
  </si>
  <si>
    <t>LGU-run, BWUI, Richli</t>
  </si>
  <si>
    <t>HOUSEHOLDS</t>
  </si>
  <si>
    <t>HOUSEHOLD SIZE</t>
  </si>
  <si>
    <t>HOUSEHOLD COVERAGE (%) - served by all</t>
  </si>
  <si>
    <t xml:space="preserve">based on WSC of LGU waterworks </t>
  </si>
  <si>
    <t>assumed saturation of brgys served by the waterworks</t>
  </si>
  <si>
    <t>WATER SERVICE CONNECTIONS (WSC)</t>
  </si>
  <si>
    <t>RESIDENTIAL WSC (served by all)</t>
  </si>
  <si>
    <t>COMMERCIAL WSC (served by all)</t>
  </si>
  <si>
    <t>INSTITUTIONAL WSC (served by all)</t>
  </si>
  <si>
    <t>actual</t>
  </si>
  <si>
    <t>actual 3/24</t>
  </si>
  <si>
    <t>annualized</t>
  </si>
  <si>
    <t>TOTAL WSC (served by all)</t>
  </si>
  <si>
    <t>TOURIST COUNT-FOREIGN</t>
  </si>
  <si>
    <t>TOURIST COUNT-DOMESTIC</t>
  </si>
  <si>
    <t>TOURIST COUNT- TOTAL</t>
  </si>
  <si>
    <t>UNIT CONSUMPTIONS (LPCD OR CU.M/CONN/DAY)</t>
  </si>
  <si>
    <t>RESIDENTIAL UNIT CONSUMPTION IN LPCD</t>
  </si>
  <si>
    <t>COMMERCIAL UNIT CONSUMPTION IN CU.M/CONN/DAY</t>
  </si>
  <si>
    <t>Barangays</t>
  </si>
  <si>
    <t>INSTITUTIONAL UNIT CONSUMPTION IN CU.M/CONN/DAY</t>
  </si>
  <si>
    <t>TOURIST UNIT CONSUMPTION IN LPCD</t>
  </si>
  <si>
    <t>Foreign</t>
  </si>
  <si>
    <t>Domestic</t>
  </si>
  <si>
    <t>ANNUAL DEMAND (CU.M/YEAR)</t>
  </si>
  <si>
    <t>ANNUAL RESIDENTIAL DEMAND (CU.M/YEAR)</t>
  </si>
  <si>
    <t>ANNUAL COMMERCIAL DEMAND (CU.M/YEAR)</t>
  </si>
  <si>
    <t>ANNUAL INSTITUTIONAL DEMAND (CU.M/YEAR)</t>
  </si>
  <si>
    <t>ANNUAL TOTAL DEMAND (CU.M/YEAR)</t>
  </si>
  <si>
    <t>ANNUAL TOURIST DEMAND (CU.M/YEAR)</t>
  </si>
  <si>
    <t>ANNUAL DEMAND (MLD)</t>
  </si>
  <si>
    <t>RESIDENTIAL DEMAND (MLD)</t>
  </si>
  <si>
    <t>COMMERCIAL DEMAND (MLD)</t>
  </si>
  <si>
    <t>INSTITUTIONAL DEMAND (MLD)</t>
  </si>
  <si>
    <t>TOTAL DEMAND (MLD)</t>
  </si>
  <si>
    <t>ANNUAL TOURIST DEMAND (MLD)</t>
  </si>
  <si>
    <t>NON-REVENUE WATER (%) FOR WATERWORKS</t>
  </si>
  <si>
    <t>2022 FS values</t>
  </si>
  <si>
    <t>TOTAL UNCONSTRAINED DEMAND (MLD)</t>
  </si>
  <si>
    <t>DW</t>
  </si>
  <si>
    <t>TOTAL DEEPWELL SOURCES (MLD)</t>
  </si>
  <si>
    <t>TOTAL DEMAND FROM PRIVATE SERVICE PROVIDERS</t>
  </si>
  <si>
    <t>WATER SERVICE CONNECTIONS</t>
  </si>
  <si>
    <t>RESIDENTIAL WATER SERVICE CONNECTIONS</t>
  </si>
  <si>
    <t>LGU</t>
  </si>
  <si>
    <t>served/unserved by waterworks</t>
  </si>
  <si>
    <t>COMMERCIAL WATER SERVICE CONNECTIONS</t>
  </si>
  <si>
    <t>INSTITUTIONAL WATER SERVICE CONNECTIONS</t>
  </si>
  <si>
    <t>TOTAL WATER SERVICE CONNECTIONS</t>
  </si>
  <si>
    <t>TOTAL WATER DEMAND IN CU.M/YEAR</t>
  </si>
  <si>
    <t>RESIDENTIAL WATER DEMAND IN CU.M/YEAR</t>
  </si>
  <si>
    <t>COMMERCIAL WATER DEMAND IN CU.M/YEAR</t>
  </si>
  <si>
    <t>INSTITUTIONAL WATER DEMAND IN CU.M/YEAR</t>
  </si>
  <si>
    <t>TOURSIT WATER DEMAND IN CU.M/YEAR</t>
  </si>
  <si>
    <t>BWUI</t>
  </si>
  <si>
    <t>TOTAL WATER DEMAND IN MLD</t>
  </si>
  <si>
    <t>RESIDENTIAL WATER DEMAND IN MLD</t>
  </si>
  <si>
    <t>COMMERCIAL WATER DEMAND IN MLD</t>
  </si>
  <si>
    <t>INSTITUTIONAL WATER DEMAND IN MLD</t>
  </si>
  <si>
    <t>TOURSIT WATER DEMAND IN MLD</t>
  </si>
  <si>
    <t>PRIVATE</t>
  </si>
  <si>
    <t>TOTAL UNCONSTRAINED DEMAND IN MLD FOR OTHER WSPS</t>
  </si>
  <si>
    <t>NET BBWSP</t>
  </si>
  <si>
    <t>NET DEMAND IN MLD</t>
  </si>
  <si>
    <t>NET DEMAND (MLD)</t>
  </si>
  <si>
    <t>net demand in cu.m per year</t>
  </si>
  <si>
    <t>DESIGN DEMAND (MLD)</t>
  </si>
  <si>
    <t>Net demand from 2040 onwards (MLD)</t>
  </si>
  <si>
    <t>Note: From 2040, the design demand of the Project will be capped at 60 MLD. This can only cater to a net demand of 43.85 MLD up to end of Project life.</t>
  </si>
  <si>
    <t>SUPPLY AND DEMAND</t>
  </si>
  <si>
    <t>Service Connections</t>
  </si>
  <si>
    <t>Water Supply System</t>
  </si>
  <si>
    <t>Sanitation</t>
  </si>
  <si>
    <t>Chemical Cost / m3 produced</t>
  </si>
  <si>
    <t>Misc and Other O&amp;M</t>
  </si>
  <si>
    <t>Service Fee</t>
  </si>
  <si>
    <t>OPEX (SANITATION)</t>
  </si>
  <si>
    <t>Construction  Period          (2026-2029)</t>
  </si>
  <si>
    <t>YR 1       (2030)</t>
  </si>
  <si>
    <t>YR 2       (2031)</t>
  </si>
  <si>
    <t>YR3        (2032)</t>
  </si>
  <si>
    <t>YR 4       (2033)</t>
  </si>
  <si>
    <t>YR 5       (2034)</t>
  </si>
  <si>
    <t>YR 6              (2035)</t>
  </si>
  <si>
    <t>YR 7       (2036)</t>
  </si>
  <si>
    <t>YR 8       (2037)</t>
  </si>
  <si>
    <t>YR 9      (2038)</t>
  </si>
  <si>
    <t>YR 10       (2039)</t>
  </si>
  <si>
    <t>TAGBILARAN CITY RURAL WATERWORKS</t>
  </si>
  <si>
    <t>PWSP, m3</t>
  </si>
  <si>
    <t>BBWSP, m3</t>
  </si>
  <si>
    <t>UNIT</t>
  </si>
  <si>
    <t>Php</t>
  </si>
  <si>
    <t>Bulk Purchase (2030-2034)</t>
  </si>
  <si>
    <t>Bulk Purchase (2035-2039)</t>
  </si>
  <si>
    <t>unit</t>
  </si>
  <si>
    <t>No.</t>
  </si>
  <si>
    <t>m3 / yr</t>
  </si>
  <si>
    <t>Average Salary per month -  (Php)</t>
  </si>
  <si>
    <t>Staff (1:1000) - (No.)</t>
  </si>
  <si>
    <t>Power cost / m3 produced -  (Php)</t>
  </si>
  <si>
    <t>DEMAND AND PROJECTIONS</t>
  </si>
  <si>
    <t>INPUT DATA &amp; ASSUMPTIONS</t>
  </si>
  <si>
    <t>AMORTIZATION  SCHEDULE</t>
  </si>
  <si>
    <t>DEPRECIATION SCHEDULE</t>
  </si>
  <si>
    <t>TARIFF CALCULATION</t>
  </si>
  <si>
    <t>GET DATA FROM TECHNICAL</t>
  </si>
  <si>
    <t>Misc and Other O&amp;M (% OF TOTAL OPEX)</t>
  </si>
  <si>
    <t>Service Fee (% OF TOTAL OPEX)</t>
  </si>
  <si>
    <t>Depreciation - Average Economic Life</t>
  </si>
  <si>
    <t>OPEX (Water Supply System)</t>
  </si>
  <si>
    <t>Salary (Php)</t>
  </si>
  <si>
    <t>Staff  (No.)</t>
  </si>
  <si>
    <t>Power cost / m3 - (Php)</t>
  </si>
  <si>
    <t>Chemical Cost / m3 - (Php)</t>
  </si>
  <si>
    <t>RETURN ON INVESTMENT</t>
  </si>
  <si>
    <t>ROI (1-12%)</t>
  </si>
  <si>
    <t>LOAN AMORTIZATION</t>
  </si>
  <si>
    <t>Interest Rate</t>
  </si>
  <si>
    <t>Repayment Period</t>
  </si>
  <si>
    <t>TENOR:</t>
  </si>
  <si>
    <t>Total Project Cost (Php)</t>
  </si>
  <si>
    <t xml:space="preserve">     Loan (%age)</t>
  </si>
  <si>
    <t xml:space="preserve">     Grant (%age)</t>
  </si>
  <si>
    <t xml:space="preserve">     Equity (%age)</t>
  </si>
  <si>
    <t>ANNUAL DEPRECIATION</t>
  </si>
  <si>
    <t>Net Book Value</t>
  </si>
  <si>
    <t>YEAR 6         (2035)</t>
  </si>
  <si>
    <t>YEAR 10      (2039)</t>
  </si>
  <si>
    <t>YEAR 6        (2035)</t>
  </si>
  <si>
    <t xml:space="preserve">  AMORTIZATION (Interest Expense)</t>
  </si>
  <si>
    <t>CONSTRUCTION PERIOD          (2026-2029)</t>
  </si>
  <si>
    <t>CALCULATIONS</t>
  </si>
  <si>
    <t>OUTPUT</t>
  </si>
  <si>
    <t xml:space="preserve"> 1. INPUT DATA FROM TECHNICAL</t>
  </si>
  <si>
    <t>2. GET DATA FROM COMMERCIAL &amp; FINANCE</t>
  </si>
  <si>
    <t>NET BOOK VALUE</t>
  </si>
  <si>
    <t>BILLED VOLUME</t>
  </si>
  <si>
    <t>AMORTIZATION</t>
  </si>
  <si>
    <t>EQUITY</t>
  </si>
  <si>
    <t>PHP TARIFF / CU.M.</t>
  </si>
  <si>
    <t>2- MOS. WORKING CAPITAL</t>
  </si>
  <si>
    <t>=</t>
  </si>
  <si>
    <t>Average Consumption * Active Service Connection * 12</t>
  </si>
  <si>
    <t>AVERAGE CONSUMPTION</t>
  </si>
  <si>
    <t>Billed Volume / Active Service Connection / 12</t>
  </si>
  <si>
    <t>Production in m3 - Billed in m3 / Production m3</t>
  </si>
  <si>
    <t>NON-REVENUE WATER</t>
  </si>
  <si>
    <t>AVERAGE TARIFF</t>
  </si>
  <si>
    <t>Annual Revenue / Billed Volume m3</t>
  </si>
  <si>
    <t>UNIT PRODUCTION COST</t>
  </si>
  <si>
    <t>Total Annual O&amp;M / Production in m3</t>
  </si>
  <si>
    <t>OPERATING RATIO</t>
  </si>
  <si>
    <t>Operating Expenses / Operating Revenue</t>
  </si>
  <si>
    <t>COLLECTION EFFICIENCY</t>
  </si>
  <si>
    <t>Year-To-Date Collections / Year-To-Date Pesos Billings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</si>
</sst>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_-;\-* #,##0.00_-;_-* &quot;-&quot;??_-;_-@_-"/>
    <numFmt numFmtId="165" formatCode="0.0"/>
    <numFmt numFmtId="166" formatCode="&quot;₱&quot;#,##0.00;[Red]\-&quot;₱&quot;#,##0.00"/>
    <numFmt numFmtId="167" formatCode="_(* #,##0_);_(* \(#,##0\);_(* &quot;-&quot;??_);_(@_)"/>
    <numFmt numFmtId="168" formatCode="_(* #,##0.00000_);_(* \(#,##0.00000\);_(* &quot;-&quot;??_);_(@_)"/>
    <numFmt numFmtId="169" formatCode="_(* #,##0.000000_);_(* \(#,##0.000000\);_(* &quot;-&quot;??_);_(@_)"/>
    <numFmt numFmtId="170" formatCode="_(* #,##0.0000_);_(* \(#,##0.0000\);_(* &quot;-&quot;??_);_(@_)"/>
    <numFmt numFmtId="171" formatCode="_-* #,##0_-;\-* #,##0_-;_-* &quot;-&quot;??_-;_-@_-"/>
  </numFmts>
  <fonts count="7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2" tint="-9.9978637043366805E-2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0"/>
      <name val="Trebuchet MS"/>
      <family val="2"/>
    </font>
    <font>
      <sz val="30"/>
      <name val="Trebuchet MS"/>
      <family val="2"/>
    </font>
    <font>
      <b/>
      <sz val="10"/>
      <color theme="0"/>
      <name val="Trebuchet MS"/>
      <family val="2"/>
    </font>
    <font>
      <sz val="12"/>
      <name val="Aptos Narrow"/>
      <family val="2"/>
      <scheme val="minor"/>
    </font>
    <font>
      <sz val="10"/>
      <name val="Aptos Narrow"/>
      <family val="2"/>
      <scheme val="minor"/>
    </font>
    <font>
      <sz val="12"/>
      <color rgb="FF000000"/>
      <name val="Calibri"/>
      <family val="2"/>
    </font>
    <font>
      <b/>
      <sz val="18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i/>
      <sz val="12"/>
      <color theme="4" tint="-0.249977111117893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theme="3"/>
      <name val="Aptos Narrow"/>
      <family val="2"/>
      <scheme val="minor"/>
    </font>
    <font>
      <b/>
      <i/>
      <sz val="12"/>
      <color theme="4" tint="-0.249977111117893"/>
      <name val="Aptos Narrow"/>
      <family val="2"/>
      <scheme val="minor"/>
    </font>
    <font>
      <i/>
      <sz val="11"/>
      <color theme="4" tint="-0.249977111117893"/>
      <name val="Aptos Narrow"/>
      <family val="2"/>
      <scheme val="minor"/>
    </font>
    <font>
      <sz val="12"/>
      <color theme="3"/>
      <name val="Aptos Narrow"/>
      <family val="2"/>
      <scheme val="minor"/>
    </font>
    <font>
      <b/>
      <sz val="10"/>
      <color theme="3"/>
      <name val="Aptos Narrow"/>
      <family val="2"/>
      <scheme val="minor"/>
    </font>
    <font>
      <b/>
      <sz val="12"/>
      <color theme="3" tint="0.79998168889431442"/>
      <name val="Aptos Narrow"/>
      <family val="2"/>
      <scheme val="minor"/>
    </font>
    <font>
      <b/>
      <sz val="10"/>
      <color theme="3" tint="0.79998168889431442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i/>
      <sz val="12"/>
      <color rgb="FFC00000"/>
      <name val="Aptos Narrow"/>
      <family val="2"/>
      <scheme val="minor"/>
    </font>
    <font>
      <b/>
      <i/>
      <sz val="12"/>
      <color rgb="FFC00000"/>
      <name val="Aptos Narrow"/>
      <family val="2"/>
      <scheme val="minor"/>
    </font>
    <font>
      <sz val="12"/>
      <color theme="3" tint="0.79998168889431442"/>
      <name val="Aptos Narrow"/>
      <family val="2"/>
      <scheme val="minor"/>
    </font>
    <font>
      <sz val="10"/>
      <color theme="3" tint="0.79998168889431442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0"/>
      <color theme="4" tint="-0.249977111117893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i/>
      <sz val="10"/>
      <color rgb="FFC00000"/>
      <name val="Aptos Narrow"/>
      <family val="2"/>
      <scheme val="minor"/>
    </font>
    <font>
      <b/>
      <i/>
      <sz val="10"/>
      <color rgb="FFC00000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sz val="12"/>
      <color theme="4" tint="-0.249977111117893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3"/>
      <name val="Aptos Narrow"/>
      <family val="2"/>
      <scheme val="minor"/>
    </font>
    <font>
      <b/>
      <i/>
      <sz val="11"/>
      <color theme="4" tint="-0.249977111117893"/>
      <name val="Aptos Narrow"/>
      <family val="2"/>
      <scheme val="minor"/>
    </font>
    <font>
      <i/>
      <sz val="11"/>
      <color theme="3"/>
      <name val="Aptos Narrow"/>
      <family val="2"/>
      <scheme val="minor"/>
    </font>
    <font>
      <b/>
      <i/>
      <sz val="9"/>
      <color theme="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b/>
      <i/>
      <sz val="10"/>
      <color theme="0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9"/>
      <color theme="5" tint="0.39997558519241921"/>
      <name val="Aptos Narrow"/>
      <family val="2"/>
      <scheme val="minor"/>
    </font>
    <font>
      <i/>
      <sz val="18"/>
      <color theme="1"/>
      <name val="Aptos Narrow"/>
      <family val="2"/>
      <scheme val="minor"/>
    </font>
    <font>
      <b/>
      <i/>
      <sz val="18"/>
      <color theme="1"/>
      <name val="Aptos Narrow"/>
      <family val="2"/>
      <scheme val="minor"/>
    </font>
    <font>
      <b/>
      <i/>
      <sz val="18"/>
      <color theme="3"/>
      <name val="Aptos Narrow"/>
      <family val="2"/>
      <scheme val="minor"/>
    </font>
    <font>
      <b/>
      <i/>
      <sz val="18"/>
      <color theme="4" tint="-0.249977111117893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i/>
      <sz val="14"/>
      <color theme="4" tint="-0.249977111117893"/>
      <name val="Aptos Narrow"/>
      <family val="2"/>
      <scheme val="minor"/>
    </font>
    <font>
      <b/>
      <sz val="16"/>
      <color rgb="FFFF0000"/>
      <name val="Calibri"/>
      <family val="2"/>
    </font>
    <font>
      <sz val="12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2" tint="-9.9978637043366805E-2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5"/>
      <color theme="1"/>
      <name val="Aptos Narrow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203764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BEF4F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0">
    <xf numFmtId="0" fontId="0" fillId="0" borderId="0" xfId="0"/>
    <xf numFmtId="0" fontId="6" fillId="2" borderId="1" xfId="0" applyFont="1" applyFill="1" applyBorder="1"/>
    <xf numFmtId="0" fontId="7" fillId="2" borderId="2" xfId="0" applyFont="1" applyFill="1" applyBorder="1"/>
    <xf numFmtId="0" fontId="7" fillId="2" borderId="3" xfId="0" applyFont="1" applyFill="1" applyBorder="1"/>
    <xf numFmtId="0" fontId="7" fillId="0" borderId="0" xfId="0" applyFont="1"/>
    <xf numFmtId="0" fontId="7" fillId="0" borderId="4" xfId="0" applyFont="1" applyBorder="1"/>
    <xf numFmtId="0" fontId="7" fillId="0" borderId="5" xfId="0" applyFont="1" applyBorder="1"/>
    <xf numFmtId="0" fontId="6" fillId="0" borderId="5" xfId="0" applyFont="1" applyBorder="1"/>
    <xf numFmtId="0" fontId="6" fillId="0" borderId="6" xfId="0" applyFont="1" applyBorder="1"/>
    <xf numFmtId="164" fontId="6" fillId="3" borderId="5" xfId="1" applyFont="1" applyFill="1" applyBorder="1"/>
    <xf numFmtId="165" fontId="6" fillId="0" borderId="4" xfId="0" applyNumberFormat="1" applyFont="1" applyBorder="1"/>
    <xf numFmtId="164" fontId="7" fillId="0" borderId="5" xfId="0" applyNumberFormat="1" applyFont="1" applyBorder="1"/>
    <xf numFmtId="164" fontId="7" fillId="0" borderId="6" xfId="0" applyNumberFormat="1" applyFont="1" applyBorder="1"/>
    <xf numFmtId="165" fontId="8" fillId="0" borderId="4" xfId="0" applyNumberFormat="1" applyFont="1" applyBorder="1"/>
    <xf numFmtId="165" fontId="8" fillId="0" borderId="5" xfId="0" applyNumberFormat="1" applyFont="1" applyBorder="1"/>
    <xf numFmtId="0" fontId="7" fillId="0" borderId="5" xfId="0" applyFont="1" applyBorder="1" applyAlignment="1">
      <alignment wrapText="1"/>
    </xf>
    <xf numFmtId="164" fontId="7" fillId="4" borderId="5" xfId="0" applyNumberFormat="1" applyFont="1" applyFill="1" applyBorder="1"/>
    <xf numFmtId="164" fontId="6" fillId="3" borderId="4" xfId="1" applyFont="1" applyFill="1" applyBorder="1"/>
    <xf numFmtId="165" fontId="7" fillId="0" borderId="5" xfId="0" applyNumberFormat="1" applyFont="1" applyBorder="1"/>
    <xf numFmtId="164" fontId="7" fillId="5" borderId="5" xfId="0" applyNumberFormat="1" applyFont="1" applyFill="1" applyBorder="1"/>
    <xf numFmtId="165" fontId="7" fillId="0" borderId="5" xfId="0" applyNumberFormat="1" applyFont="1" applyBorder="1" applyAlignment="1">
      <alignment wrapText="1"/>
    </xf>
    <xf numFmtId="164" fontId="7" fillId="0" borderId="7" xfId="0" applyNumberFormat="1" applyFont="1" applyBorder="1"/>
    <xf numFmtId="164" fontId="6" fillId="3" borderId="6" xfId="1" applyFont="1" applyFill="1" applyBorder="1"/>
    <xf numFmtId="165" fontId="7" fillId="0" borderId="4" xfId="0" applyNumberFormat="1" applyFont="1" applyBorder="1"/>
    <xf numFmtId="0" fontId="7" fillId="0" borderId="6" xfId="0" applyFont="1" applyBorder="1"/>
    <xf numFmtId="0" fontId="6" fillId="0" borderId="8" xfId="0" applyFont="1" applyBorder="1"/>
    <xf numFmtId="0" fontId="7" fillId="0" borderId="9" xfId="0" applyFont="1" applyBorder="1"/>
    <xf numFmtId="164" fontId="6" fillId="0" borderId="9" xfId="0" applyNumberFormat="1" applyFont="1" applyBorder="1"/>
    <xf numFmtId="164" fontId="6" fillId="0" borderId="10" xfId="0" applyNumberFormat="1" applyFont="1" applyBorder="1"/>
    <xf numFmtId="0" fontId="6" fillId="0" borderId="0" xfId="0" applyFont="1"/>
    <xf numFmtId="164" fontId="6" fillId="0" borderId="0" xfId="0" applyNumberFormat="1" applyFont="1"/>
    <xf numFmtId="166" fontId="6" fillId="0" borderId="0" xfId="0" applyNumberFormat="1" applyFont="1"/>
    <xf numFmtId="9" fontId="6" fillId="5" borderId="0" xfId="2" applyFont="1" applyFill="1"/>
    <xf numFmtId="9" fontId="6" fillId="0" borderId="0" xfId="2" applyFont="1" applyFill="1"/>
    <xf numFmtId="164" fontId="0" fillId="0" borderId="0" xfId="1" applyFont="1"/>
    <xf numFmtId="0" fontId="6" fillId="2" borderId="5" xfId="0" applyFont="1" applyFill="1" applyBorder="1"/>
    <xf numFmtId="0" fontId="7" fillId="2" borderId="5" xfId="0" applyFont="1" applyFill="1" applyBorder="1"/>
    <xf numFmtId="0" fontId="9" fillId="0" borderId="5" xfId="0" applyFont="1" applyBorder="1"/>
    <xf numFmtId="164" fontId="0" fillId="0" borderId="5" xfId="1" applyFont="1" applyBorder="1"/>
    <xf numFmtId="164" fontId="7" fillId="0" borderId="0" xfId="0" applyNumberFormat="1" applyFont="1"/>
    <xf numFmtId="164" fontId="6" fillId="0" borderId="5" xfId="0" applyNumberFormat="1" applyFont="1" applyBorder="1"/>
    <xf numFmtId="9" fontId="7" fillId="0" borderId="0" xfId="0" applyNumberFormat="1" applyFont="1"/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3" fontId="7" fillId="5" borderId="0" xfId="0" applyNumberFormat="1" applyFont="1" applyFill="1" applyAlignment="1">
      <alignment horizontal="center" vertical="center"/>
    </xf>
    <xf numFmtId="3" fontId="7" fillId="0" borderId="0" xfId="0" applyNumberFormat="1" applyFont="1"/>
    <xf numFmtId="0" fontId="7" fillId="5" borderId="0" xfId="0" applyFont="1" applyFill="1"/>
    <xf numFmtId="164" fontId="7" fillId="0" borderId="0" xfId="1" applyFont="1" applyAlignment="1">
      <alignment horizontal="center" vertical="center"/>
    </xf>
    <xf numFmtId="0" fontId="2" fillId="7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/>
    </xf>
    <xf numFmtId="167" fontId="0" fillId="0" borderId="0" xfId="1" applyNumberFormat="1" applyFont="1" applyFill="1" applyAlignment="1">
      <alignment horizontal="center"/>
    </xf>
    <xf numFmtId="167" fontId="0" fillId="0" borderId="0" xfId="1" applyNumberFormat="1" applyFont="1"/>
    <xf numFmtId="167" fontId="0" fillId="0" borderId="0" xfId="0" applyNumberFormat="1" applyAlignment="1">
      <alignment horizontal="center"/>
    </xf>
    <xf numFmtId="0" fontId="3" fillId="8" borderId="0" xfId="0" applyFont="1" applyFill="1"/>
    <xf numFmtId="167" fontId="3" fillId="8" borderId="0" xfId="0" applyNumberFormat="1" applyFont="1" applyFill="1"/>
    <xf numFmtId="167" fontId="0" fillId="0" borderId="0" xfId="0" applyNumberFormat="1"/>
    <xf numFmtId="43" fontId="12" fillId="0" borderId="0" xfId="1" applyNumberFormat="1" applyFont="1"/>
    <xf numFmtId="0" fontId="0" fillId="0" borderId="0" xfId="0" applyAlignment="1">
      <alignment horizontal="left"/>
    </xf>
    <xf numFmtId="43" fontId="12" fillId="0" borderId="0" xfId="0" applyNumberFormat="1" applyFont="1"/>
    <xf numFmtId="2" fontId="0" fillId="0" borderId="0" xfId="0" applyNumberFormat="1"/>
    <xf numFmtId="0" fontId="3" fillId="8" borderId="0" xfId="0" applyFont="1" applyFill="1" applyAlignment="1">
      <alignment horizontal="left"/>
    </xf>
    <xf numFmtId="0" fontId="13" fillId="0" borderId="0" xfId="0" applyFont="1"/>
    <xf numFmtId="9" fontId="0" fillId="0" borderId="0" xfId="0" applyNumberFormat="1" applyAlignment="1">
      <alignment horizontal="left"/>
    </xf>
    <xf numFmtId="43" fontId="0" fillId="0" borderId="0" xfId="0" applyNumberFormat="1"/>
    <xf numFmtId="9" fontId="0" fillId="0" borderId="0" xfId="2" applyFont="1"/>
    <xf numFmtId="0" fontId="3" fillId="0" borderId="0" xfId="0" applyFont="1"/>
    <xf numFmtId="9" fontId="0" fillId="0" borderId="0" xfId="2" applyFont="1" applyFill="1"/>
    <xf numFmtId="0" fontId="14" fillId="8" borderId="11" xfId="0" applyFont="1" applyFill="1" applyBorder="1"/>
    <xf numFmtId="167" fontId="14" fillId="8" borderId="11" xfId="0" applyNumberFormat="1" applyFont="1" applyFill="1" applyBorder="1"/>
    <xf numFmtId="0" fontId="3" fillId="9" borderId="0" xfId="0" applyFont="1" applyFill="1"/>
    <xf numFmtId="167" fontId="3" fillId="9" borderId="0" xfId="0" applyNumberFormat="1" applyFont="1" applyFill="1"/>
    <xf numFmtId="0" fontId="0" fillId="9" borderId="0" xfId="0" applyFill="1"/>
    <xf numFmtId="0" fontId="0" fillId="0" borderId="0" xfId="1" applyNumberFormat="1" applyFont="1" applyAlignment="1">
      <alignment horizontal="left"/>
    </xf>
    <xf numFmtId="0" fontId="3" fillId="6" borderId="0" xfId="0" applyFont="1" applyFill="1"/>
    <xf numFmtId="0" fontId="3" fillId="6" borderId="0" xfId="1" applyNumberFormat="1" applyFont="1" applyFill="1" applyAlignment="1">
      <alignment horizontal="left"/>
    </xf>
    <xf numFmtId="167" fontId="3" fillId="6" borderId="0" xfId="0" applyNumberFormat="1" applyFont="1" applyFill="1"/>
    <xf numFmtId="167" fontId="3" fillId="6" borderId="0" xfId="1" applyNumberFormat="1" applyFont="1" applyFill="1"/>
    <xf numFmtId="0" fontId="14" fillId="6" borderId="11" xfId="0" applyFont="1" applyFill="1" applyBorder="1"/>
    <xf numFmtId="0" fontId="15" fillId="6" borderId="11" xfId="0" applyFont="1" applyFill="1" applyBorder="1"/>
    <xf numFmtId="167" fontId="14" fillId="6" borderId="11" xfId="0" applyNumberFormat="1" applyFont="1" applyFill="1" applyBorder="1"/>
    <xf numFmtId="0" fontId="17" fillId="0" borderId="0" xfId="4" applyFont="1"/>
    <xf numFmtId="0" fontId="16" fillId="0" borderId="0" xfId="4"/>
    <xf numFmtId="0" fontId="18" fillId="0" borderId="0" xfId="4" applyFont="1"/>
    <xf numFmtId="0" fontId="19" fillId="0" borderId="5" xfId="4" applyFont="1" applyBorder="1" applyAlignment="1">
      <alignment horizontal="center" wrapText="1"/>
    </xf>
    <xf numFmtId="0" fontId="19" fillId="0" borderId="0" xfId="4" applyFont="1"/>
    <xf numFmtId="0" fontId="19" fillId="0" borderId="5" xfId="4" applyFont="1" applyBorder="1"/>
    <xf numFmtId="0" fontId="20" fillId="0" borderId="0" xfId="4" applyFont="1" applyAlignment="1">
      <alignment horizontal="center"/>
    </xf>
    <xf numFmtId="0" fontId="16" fillId="0" borderId="0" xfId="4" applyAlignment="1">
      <alignment horizontal="center"/>
    </xf>
    <xf numFmtId="0" fontId="19" fillId="0" borderId="7" xfId="4" applyFont="1" applyBorder="1"/>
    <xf numFmtId="0" fontId="19" fillId="0" borderId="15" xfId="4" applyFont="1" applyBorder="1"/>
    <xf numFmtId="167" fontId="1" fillId="0" borderId="5" xfId="5" applyNumberFormat="1" applyFont="1" applyBorder="1"/>
    <xf numFmtId="167" fontId="1" fillId="0" borderId="0" xfId="5" applyNumberFormat="1" applyFont="1" applyBorder="1"/>
    <xf numFmtId="167" fontId="0" fillId="0" borderId="0" xfId="5" applyNumberFormat="1" applyFont="1" applyBorder="1"/>
    <xf numFmtId="0" fontId="19" fillId="0" borderId="16" xfId="4" applyFont="1" applyBorder="1"/>
    <xf numFmtId="0" fontId="20" fillId="0" borderId="0" xfId="4" applyFont="1"/>
    <xf numFmtId="167" fontId="19" fillId="0" borderId="5" xfId="4" applyNumberFormat="1" applyFont="1" applyBorder="1"/>
    <xf numFmtId="167" fontId="20" fillId="0" borderId="0" xfId="4" applyNumberFormat="1" applyFont="1"/>
    <xf numFmtId="167" fontId="16" fillId="0" borderId="0" xfId="4" applyNumberFormat="1"/>
    <xf numFmtId="167" fontId="19" fillId="0" borderId="5" xfId="5" applyNumberFormat="1" applyFont="1" applyBorder="1"/>
    <xf numFmtId="167" fontId="20" fillId="0" borderId="0" xfId="5" applyNumberFormat="1" applyFont="1" applyBorder="1"/>
    <xf numFmtId="167" fontId="16" fillId="0" borderId="0" xfId="5" applyNumberFormat="1" applyFont="1" applyBorder="1"/>
    <xf numFmtId="43" fontId="19" fillId="0" borderId="0" xfId="4" applyNumberFormat="1" applyFont="1"/>
    <xf numFmtId="2" fontId="19" fillId="0" borderId="5" xfId="4" applyNumberFormat="1" applyFont="1" applyBorder="1"/>
    <xf numFmtId="2" fontId="20" fillId="0" borderId="0" xfId="4" applyNumberFormat="1" applyFont="1"/>
    <xf numFmtId="2" fontId="16" fillId="0" borderId="0" xfId="4" applyNumberFormat="1"/>
    <xf numFmtId="0" fontId="19" fillId="0" borderId="18" xfId="4" applyFont="1" applyBorder="1"/>
    <xf numFmtId="0" fontId="19" fillId="0" borderId="19" xfId="4" applyFont="1" applyBorder="1"/>
    <xf numFmtId="0" fontId="19" fillId="0" borderId="15" xfId="4" applyFont="1" applyBorder="1" applyAlignment="1">
      <alignment horizontal="center"/>
    </xf>
    <xf numFmtId="0" fontId="19" fillId="0" borderId="5" xfId="4" applyFont="1" applyBorder="1" applyAlignment="1">
      <alignment horizontal="center"/>
    </xf>
    <xf numFmtId="0" fontId="19" fillId="6" borderId="0" xfId="4" applyFont="1" applyFill="1" applyAlignment="1">
      <alignment horizontal="center"/>
    </xf>
    <xf numFmtId="0" fontId="19" fillId="0" borderId="0" xfId="4" applyFont="1" applyAlignment="1">
      <alignment horizontal="center"/>
    </xf>
    <xf numFmtId="0" fontId="19" fillId="6" borderId="0" xfId="4" applyFont="1" applyFill="1"/>
    <xf numFmtId="2" fontId="19" fillId="0" borderId="11" xfId="4" applyNumberFormat="1" applyFont="1" applyBorder="1" applyAlignment="1">
      <alignment horizontal="right"/>
    </xf>
    <xf numFmtId="2" fontId="19" fillId="0" borderId="5" xfId="4" applyNumberFormat="1" applyFont="1" applyBorder="1" applyAlignment="1">
      <alignment horizontal="right"/>
    </xf>
    <xf numFmtId="2" fontId="19" fillId="0" borderId="15" xfId="4" applyNumberFormat="1" applyFont="1" applyBorder="1"/>
    <xf numFmtId="2" fontId="19" fillId="6" borderId="0" xfId="4" applyNumberFormat="1" applyFont="1" applyFill="1"/>
    <xf numFmtId="2" fontId="19" fillId="0" borderId="0" xfId="4" applyNumberFormat="1" applyFont="1"/>
    <xf numFmtId="0" fontId="12" fillId="0" borderId="0" xfId="4" applyFont="1"/>
    <xf numFmtId="9" fontId="12" fillId="0" borderId="0" xfId="2" applyFont="1" applyAlignment="1">
      <alignment horizontal="right"/>
    </xf>
    <xf numFmtId="2" fontId="12" fillId="0" borderId="0" xfId="4" applyNumberFormat="1" applyFont="1" applyAlignment="1">
      <alignment horizontal="right"/>
    </xf>
    <xf numFmtId="0" fontId="21" fillId="10" borderId="0" xfId="0" applyFont="1" applyFill="1"/>
    <xf numFmtId="0" fontId="21" fillId="0" borderId="0" xfId="0" applyFont="1"/>
    <xf numFmtId="0" fontId="0" fillId="0" borderId="5" xfId="0" applyBorder="1"/>
    <xf numFmtId="0" fontId="0" fillId="0" borderId="0" xfId="0" applyAlignment="1">
      <alignment horizontal="center"/>
    </xf>
    <xf numFmtId="0" fontId="21" fillId="0" borderId="15" xfId="0" applyFont="1" applyBorder="1" applyAlignment="1">
      <alignment horizontal="center"/>
    </xf>
    <xf numFmtId="0" fontId="21" fillId="0" borderId="16" xfId="0" applyFont="1" applyBorder="1"/>
    <xf numFmtId="167" fontId="21" fillId="0" borderId="17" xfId="0" applyNumberFormat="1" applyFont="1" applyBorder="1"/>
    <xf numFmtId="0" fontId="21" fillId="0" borderId="20" xfId="0" applyFont="1" applyBorder="1"/>
    <xf numFmtId="167" fontId="21" fillId="0" borderId="12" xfId="0" applyNumberFormat="1" applyFont="1" applyBorder="1"/>
    <xf numFmtId="167" fontId="21" fillId="0" borderId="21" xfId="0" applyNumberFormat="1" applyFont="1" applyBorder="1"/>
    <xf numFmtId="167" fontId="19" fillId="0" borderId="5" xfId="1" applyNumberFormat="1" applyFont="1" applyBorder="1" applyAlignment="1">
      <alignment horizontal="center" wrapText="1"/>
    </xf>
    <xf numFmtId="167" fontId="0" fillId="0" borderId="5" xfId="1" applyNumberFormat="1" applyFont="1" applyBorder="1"/>
    <xf numFmtId="0" fontId="0" fillId="0" borderId="5" xfId="0" applyBorder="1" applyAlignment="1">
      <alignment horizontal="center"/>
    </xf>
    <xf numFmtId="9" fontId="0" fillId="0" borderId="5" xfId="0" applyNumberFormat="1" applyBorder="1"/>
    <xf numFmtId="167" fontId="0" fillId="0" borderId="5" xfId="0" applyNumberFormat="1" applyBorder="1"/>
    <xf numFmtId="0" fontId="1" fillId="0" borderId="0" xfId="6"/>
    <xf numFmtId="0" fontId="22" fillId="0" borderId="0" xfId="6" applyFont="1"/>
    <xf numFmtId="0" fontId="4" fillId="11" borderId="0" xfId="6" applyFont="1" applyFill="1" applyAlignment="1">
      <alignment horizontal="center"/>
    </xf>
    <xf numFmtId="0" fontId="2" fillId="11" borderId="0" xfId="6" applyFont="1" applyFill="1"/>
    <xf numFmtId="0" fontId="23" fillId="11" borderId="0" xfId="6" applyFont="1" applyFill="1"/>
    <xf numFmtId="0" fontId="2" fillId="11" borderId="0" xfId="6" applyFont="1" applyFill="1" applyAlignment="1">
      <alignment horizontal="center"/>
    </xf>
    <xf numFmtId="0" fontId="24" fillId="11" borderId="0" xfId="6" applyFont="1" applyFill="1" applyAlignment="1">
      <alignment horizontal="center"/>
    </xf>
    <xf numFmtId="0" fontId="4" fillId="11" borderId="0" xfId="6" applyFont="1" applyFill="1"/>
    <xf numFmtId="0" fontId="1" fillId="0" borderId="0" xfId="6" applyAlignment="1">
      <alignment horizontal="center" vertical="center"/>
    </xf>
    <xf numFmtId="0" fontId="3" fillId="6" borderId="0" xfId="6" applyFont="1" applyFill="1" applyAlignment="1">
      <alignment horizontal="center" vertical="center"/>
    </xf>
    <xf numFmtId="0" fontId="25" fillId="6" borderId="0" xfId="6" applyFont="1" applyFill="1" applyAlignment="1">
      <alignment horizontal="center" vertical="center" wrapText="1"/>
    </xf>
    <xf numFmtId="0" fontId="26" fillId="6" borderId="0" xfId="6" applyFont="1" applyFill="1" applyAlignment="1">
      <alignment horizontal="center" vertical="center"/>
    </xf>
    <xf numFmtId="17" fontId="27" fillId="6" borderId="0" xfId="6" applyNumberFormat="1" applyFont="1" applyFill="1" applyAlignment="1">
      <alignment horizontal="center" vertical="center"/>
    </xf>
    <xf numFmtId="0" fontId="3" fillId="12" borderId="0" xfId="6" applyFont="1" applyFill="1" applyAlignment="1">
      <alignment horizontal="center"/>
    </xf>
    <xf numFmtId="0" fontId="25" fillId="12" borderId="0" xfId="6" applyFont="1" applyFill="1" applyAlignment="1">
      <alignment horizontal="center"/>
    </xf>
    <xf numFmtId="0" fontId="26" fillId="12" borderId="0" xfId="6" applyFont="1" applyFill="1" applyAlignment="1">
      <alignment horizontal="center"/>
    </xf>
    <xf numFmtId="0" fontId="27" fillId="12" borderId="0" xfId="6" applyFont="1" applyFill="1" applyAlignment="1">
      <alignment horizontal="center"/>
    </xf>
    <xf numFmtId="0" fontId="1" fillId="0" borderId="0" xfId="6" applyAlignment="1">
      <alignment horizontal="center"/>
    </xf>
    <xf numFmtId="0" fontId="13" fillId="0" borderId="0" xfId="6" applyFont="1"/>
    <xf numFmtId="167" fontId="1" fillId="0" borderId="0" xfId="7" applyNumberFormat="1" applyFont="1" applyAlignment="1">
      <alignment horizontal="center"/>
    </xf>
    <xf numFmtId="0" fontId="3" fillId="13" borderId="0" xfId="6" applyFont="1" applyFill="1" applyAlignment="1">
      <alignment horizontal="center"/>
    </xf>
    <xf numFmtId="0" fontId="3" fillId="13" borderId="0" xfId="6" applyFont="1" applyFill="1"/>
    <xf numFmtId="0" fontId="25" fillId="13" borderId="0" xfId="6" applyFont="1" applyFill="1"/>
    <xf numFmtId="167" fontId="3" fillId="13" borderId="0" xfId="7" applyNumberFormat="1" applyFont="1" applyFill="1" applyAlignment="1">
      <alignment horizontal="center"/>
    </xf>
    <xf numFmtId="0" fontId="5" fillId="0" borderId="0" xfId="6" applyFont="1" applyAlignment="1">
      <alignment horizontal="center"/>
    </xf>
    <xf numFmtId="0" fontId="5" fillId="0" borderId="0" xfId="6" applyFont="1"/>
    <xf numFmtId="167" fontId="5" fillId="0" borderId="0" xfId="6" applyNumberFormat="1" applyFont="1" applyAlignment="1">
      <alignment horizontal="center"/>
    </xf>
    <xf numFmtId="167" fontId="28" fillId="0" borderId="0" xfId="6" applyNumberFormat="1" applyFont="1" applyAlignment="1">
      <alignment horizontal="center"/>
    </xf>
    <xf numFmtId="167" fontId="5" fillId="0" borderId="0" xfId="6" applyNumberFormat="1" applyFont="1"/>
    <xf numFmtId="167" fontId="9" fillId="0" borderId="0" xfId="6" applyNumberFormat="1" applyFont="1"/>
    <xf numFmtId="0" fontId="29" fillId="0" borderId="0" xfId="6" applyFont="1" applyAlignment="1">
      <alignment horizontal="center"/>
    </xf>
    <xf numFmtId="167" fontId="29" fillId="0" borderId="0" xfId="7" applyNumberFormat="1" applyFont="1" applyAlignment="1">
      <alignment horizontal="center"/>
    </xf>
    <xf numFmtId="0" fontId="26" fillId="13" borderId="0" xfId="6" applyFont="1" applyFill="1" applyAlignment="1">
      <alignment horizontal="center"/>
    </xf>
    <xf numFmtId="167" fontId="26" fillId="13" borderId="0" xfId="7" applyNumberFormat="1" applyFont="1" applyFill="1" applyAlignment="1">
      <alignment horizontal="center"/>
    </xf>
    <xf numFmtId="0" fontId="3" fillId="0" borderId="0" xfId="6" applyFont="1" applyAlignment="1">
      <alignment horizontal="center"/>
    </xf>
    <xf numFmtId="0" fontId="3" fillId="0" borderId="0" xfId="6" applyFont="1"/>
    <xf numFmtId="0" fontId="25" fillId="0" borderId="0" xfId="6" applyFont="1"/>
    <xf numFmtId="167" fontId="3" fillId="0" borderId="0" xfId="6" applyNumberFormat="1" applyFont="1" applyAlignment="1">
      <alignment horizontal="center"/>
    </xf>
    <xf numFmtId="167" fontId="27" fillId="0" borderId="0" xfId="6" applyNumberFormat="1" applyFont="1" applyAlignment="1">
      <alignment horizontal="center"/>
    </xf>
    <xf numFmtId="167" fontId="3" fillId="0" borderId="0" xfId="6" applyNumberFormat="1" applyFont="1"/>
    <xf numFmtId="43" fontId="4" fillId="0" borderId="0" xfId="7" applyFont="1" applyAlignment="1">
      <alignment horizontal="center"/>
    </xf>
    <xf numFmtId="43" fontId="1" fillId="0" borderId="0" xfId="7" applyFont="1" applyAlignment="1">
      <alignment horizontal="center"/>
    </xf>
    <xf numFmtId="43" fontId="1" fillId="0" borderId="0" xfId="7" applyFont="1"/>
    <xf numFmtId="43" fontId="3" fillId="13" borderId="0" xfId="7" applyFont="1" applyFill="1" applyAlignment="1">
      <alignment horizontal="center"/>
    </xf>
    <xf numFmtId="43" fontId="3" fillId="13" borderId="0" xfId="7" applyFont="1" applyFill="1"/>
    <xf numFmtId="43" fontId="25" fillId="13" borderId="0" xfId="7" applyFont="1" applyFill="1"/>
    <xf numFmtId="43" fontId="26" fillId="13" borderId="0" xfId="7" applyFont="1" applyFill="1" applyAlignment="1">
      <alignment horizontal="center"/>
    </xf>
    <xf numFmtId="0" fontId="1" fillId="0" borderId="0" xfId="6" applyAlignment="1">
      <alignment vertical="center"/>
    </xf>
    <xf numFmtId="0" fontId="3" fillId="12" borderId="0" xfId="6" applyFont="1" applyFill="1" applyAlignment="1">
      <alignment horizontal="center" vertical="center"/>
    </xf>
    <xf numFmtId="0" fontId="25" fillId="12" borderId="0" xfId="6" applyFont="1" applyFill="1" applyAlignment="1">
      <alignment horizontal="center" vertical="center"/>
    </xf>
    <xf numFmtId="0" fontId="26" fillId="12" borderId="0" xfId="6" applyFont="1" applyFill="1" applyAlignment="1">
      <alignment horizontal="center" vertical="center"/>
    </xf>
    <xf numFmtId="0" fontId="30" fillId="12" borderId="0" xfId="6" applyFont="1" applyFill="1" applyAlignment="1">
      <alignment horizontal="center" vertical="center" wrapText="1"/>
    </xf>
    <xf numFmtId="9" fontId="29" fillId="0" borderId="0" xfId="8" applyFont="1" applyFill="1" applyAlignment="1">
      <alignment horizontal="center"/>
    </xf>
    <xf numFmtId="9" fontId="1" fillId="0" borderId="0" xfId="8" applyFont="1"/>
    <xf numFmtId="167" fontId="26" fillId="13" borderId="0" xfId="6" applyNumberFormat="1" applyFont="1" applyFill="1" applyAlignment="1">
      <alignment horizontal="center"/>
    </xf>
    <xf numFmtId="9" fontId="26" fillId="13" borderId="0" xfId="8" applyFont="1" applyFill="1" applyAlignment="1">
      <alignment horizontal="center"/>
    </xf>
    <xf numFmtId="9" fontId="3" fillId="13" borderId="0" xfId="8" applyFont="1" applyFill="1"/>
    <xf numFmtId="0" fontId="31" fillId="14" borderId="0" xfId="6" applyFont="1" applyFill="1" applyAlignment="1">
      <alignment horizontal="center"/>
    </xf>
    <xf numFmtId="0" fontId="31" fillId="14" borderId="0" xfId="6" applyFont="1" applyFill="1"/>
    <xf numFmtId="0" fontId="32" fillId="14" borderId="0" xfId="6" applyFont="1" applyFill="1"/>
    <xf numFmtId="0" fontId="27" fillId="14" borderId="0" xfId="6" applyFont="1" applyFill="1" applyAlignment="1">
      <alignment horizontal="center"/>
    </xf>
    <xf numFmtId="0" fontId="33" fillId="12" borderId="0" xfId="6" applyFont="1" applyFill="1" applyAlignment="1">
      <alignment horizontal="center"/>
    </xf>
    <xf numFmtId="0" fontId="25" fillId="12" borderId="0" xfId="6" applyFont="1" applyFill="1" applyAlignment="1">
      <alignment horizontal="center" wrapText="1"/>
    </xf>
    <xf numFmtId="0" fontId="33" fillId="12" borderId="0" xfId="6" applyFont="1" applyFill="1" applyAlignment="1">
      <alignment horizontal="center" wrapText="1"/>
    </xf>
    <xf numFmtId="43" fontId="33" fillId="12" borderId="0" xfId="6" applyNumberFormat="1" applyFont="1" applyFill="1" applyAlignment="1">
      <alignment horizontal="center"/>
    </xf>
    <xf numFmtId="9" fontId="33" fillId="12" borderId="0" xfId="8" applyFont="1" applyFill="1" applyAlignment="1">
      <alignment horizontal="center"/>
    </xf>
    <xf numFmtId="167" fontId="3" fillId="13" borderId="0" xfId="7" applyNumberFormat="1" applyFont="1" applyFill="1"/>
    <xf numFmtId="167" fontId="1" fillId="0" borderId="0" xfId="7" applyNumberFormat="1" applyFont="1"/>
    <xf numFmtId="167" fontId="3" fillId="13" borderId="0" xfId="6" applyNumberFormat="1" applyFont="1" applyFill="1"/>
    <xf numFmtId="0" fontId="24" fillId="0" borderId="0" xfId="6" applyFont="1" applyAlignment="1">
      <alignment horizontal="center"/>
    </xf>
    <xf numFmtId="167" fontId="29" fillId="0" borderId="0" xfId="7" applyNumberFormat="1" applyFont="1" applyFill="1" applyAlignment="1">
      <alignment horizontal="center"/>
    </xf>
    <xf numFmtId="167" fontId="1" fillId="0" borderId="0" xfId="7" applyNumberFormat="1" applyFont="1" applyFill="1" applyAlignment="1">
      <alignment horizontal="center"/>
    </xf>
    <xf numFmtId="43" fontId="1" fillId="0" borderId="0" xfId="6" applyNumberFormat="1"/>
    <xf numFmtId="167" fontId="34" fillId="0" borderId="0" xfId="7" applyNumberFormat="1" applyFont="1" applyFill="1" applyAlignment="1">
      <alignment horizontal="center"/>
    </xf>
    <xf numFmtId="167" fontId="35" fillId="13" borderId="0" xfId="6" applyNumberFormat="1" applyFont="1" applyFill="1" applyAlignment="1">
      <alignment horizontal="center"/>
    </xf>
    <xf numFmtId="167" fontId="3" fillId="13" borderId="0" xfId="6" applyNumberFormat="1" applyFont="1" applyFill="1" applyAlignment="1">
      <alignment horizontal="center"/>
    </xf>
    <xf numFmtId="167" fontId="1" fillId="0" borderId="0" xfId="6" applyNumberFormat="1"/>
    <xf numFmtId="0" fontId="36" fillId="14" borderId="0" xfId="6" applyFont="1" applyFill="1" applyAlignment="1">
      <alignment horizontal="center"/>
    </xf>
    <xf numFmtId="0" fontId="37" fillId="14" borderId="0" xfId="6" applyFont="1" applyFill="1"/>
    <xf numFmtId="0" fontId="36" fillId="14" borderId="0" xfId="6" applyFont="1" applyFill="1"/>
    <xf numFmtId="0" fontId="24" fillId="14" borderId="0" xfId="6" applyFont="1" applyFill="1" applyAlignment="1">
      <alignment horizontal="center"/>
    </xf>
    <xf numFmtId="0" fontId="38" fillId="12" borderId="0" xfId="6" applyFont="1" applyFill="1" applyAlignment="1">
      <alignment horizontal="center"/>
    </xf>
    <xf numFmtId="43" fontId="3" fillId="13" borderId="0" xfId="6" applyNumberFormat="1" applyFont="1" applyFill="1"/>
    <xf numFmtId="167" fontId="27" fillId="13" borderId="0" xfId="7" applyNumberFormat="1" applyFont="1" applyFill="1" applyAlignment="1">
      <alignment horizontal="center"/>
    </xf>
    <xf numFmtId="0" fontId="13" fillId="0" borderId="0" xfId="6" applyFont="1" applyAlignment="1">
      <alignment horizontal="center"/>
    </xf>
    <xf numFmtId="43" fontId="13" fillId="0" borderId="0" xfId="6" applyNumberFormat="1" applyFont="1" applyAlignment="1">
      <alignment horizontal="center"/>
    </xf>
    <xf numFmtId="43" fontId="39" fillId="0" borderId="0" xfId="6" applyNumberFormat="1" applyFont="1" applyAlignment="1">
      <alignment horizontal="center"/>
    </xf>
    <xf numFmtId="43" fontId="25" fillId="0" borderId="0" xfId="6" applyNumberFormat="1" applyFont="1" applyAlignment="1">
      <alignment horizontal="center"/>
    </xf>
    <xf numFmtId="167" fontId="40" fillId="13" borderId="0" xfId="7" applyNumberFormat="1" applyFont="1" applyFill="1" applyAlignment="1">
      <alignment horizontal="center"/>
    </xf>
    <xf numFmtId="167" fontId="41" fillId="0" borderId="0" xfId="6" applyNumberFormat="1" applyFont="1"/>
    <xf numFmtId="167" fontId="27" fillId="13" borderId="0" xfId="6" applyNumberFormat="1" applyFont="1" applyFill="1" applyAlignment="1">
      <alignment horizontal="center"/>
    </xf>
    <xf numFmtId="0" fontId="25" fillId="12" borderId="0" xfId="6" applyFont="1" applyFill="1" applyAlignment="1">
      <alignment horizontal="left"/>
    </xf>
    <xf numFmtId="167" fontId="25" fillId="13" borderId="0" xfId="7" applyNumberFormat="1" applyFont="1" applyFill="1"/>
    <xf numFmtId="0" fontId="3" fillId="6" borderId="0" xfId="6" applyFont="1" applyFill="1" applyAlignment="1">
      <alignment horizontal="center"/>
    </xf>
    <xf numFmtId="0" fontId="26" fillId="6" borderId="0" xfId="6" applyFont="1" applyFill="1" applyAlignment="1">
      <alignment horizontal="center"/>
    </xf>
    <xf numFmtId="17" fontId="27" fillId="6" borderId="0" xfId="6" applyNumberFormat="1" applyFont="1" applyFill="1" applyAlignment="1">
      <alignment horizontal="center"/>
    </xf>
    <xf numFmtId="167" fontId="35" fillId="13" borderId="0" xfId="7" applyNumberFormat="1" applyFont="1" applyFill="1" applyAlignment="1">
      <alignment horizontal="center"/>
    </xf>
    <xf numFmtId="0" fontId="31" fillId="15" borderId="0" xfId="6" applyFont="1" applyFill="1" applyAlignment="1">
      <alignment horizontal="center"/>
    </xf>
    <xf numFmtId="0" fontId="31" fillId="15" borderId="0" xfId="6" applyFont="1" applyFill="1"/>
    <xf numFmtId="0" fontId="32" fillId="15" borderId="0" xfId="6" applyFont="1" applyFill="1"/>
    <xf numFmtId="0" fontId="27" fillId="15" borderId="0" xfId="6" applyFont="1" applyFill="1" applyAlignment="1">
      <alignment horizontal="center"/>
    </xf>
    <xf numFmtId="43" fontId="29" fillId="0" borderId="0" xfId="7" applyFont="1" applyFill="1" applyAlignment="1">
      <alignment horizontal="center"/>
    </xf>
    <xf numFmtId="0" fontId="42" fillId="0" borderId="0" xfId="6" applyFont="1"/>
    <xf numFmtId="0" fontId="43" fillId="16" borderId="0" xfId="6" applyFont="1" applyFill="1" applyAlignment="1">
      <alignment horizontal="center"/>
    </xf>
    <xf numFmtId="0" fontId="44" fillId="16" borderId="0" xfId="6" applyFont="1" applyFill="1"/>
    <xf numFmtId="0" fontId="45" fillId="16" borderId="0" xfId="6" applyFont="1" applyFill="1"/>
    <xf numFmtId="0" fontId="44" fillId="16" borderId="0" xfId="6" applyFont="1" applyFill="1" applyAlignment="1">
      <alignment horizontal="center"/>
    </xf>
    <xf numFmtId="0" fontId="43" fillId="16" borderId="0" xfId="6" applyFont="1" applyFill="1"/>
    <xf numFmtId="43" fontId="46" fillId="0" borderId="0" xfId="7" applyFont="1" applyFill="1" applyAlignment="1">
      <alignment horizontal="center"/>
    </xf>
    <xf numFmtId="43" fontId="46" fillId="0" borderId="0" xfId="7" applyFont="1" applyAlignment="1">
      <alignment horizontal="center"/>
    </xf>
    <xf numFmtId="43" fontId="47" fillId="13" borderId="0" xfId="7" applyFont="1" applyFill="1" applyAlignment="1">
      <alignment horizontal="center"/>
    </xf>
    <xf numFmtId="167" fontId="24" fillId="0" borderId="0" xfId="7" applyNumberFormat="1" applyFont="1" applyAlignment="1">
      <alignment horizontal="center"/>
    </xf>
    <xf numFmtId="167" fontId="3" fillId="0" borderId="0" xfId="7" applyNumberFormat="1" applyFont="1"/>
    <xf numFmtId="9" fontId="48" fillId="0" borderId="0" xfId="8" applyFont="1" applyFill="1" applyAlignment="1">
      <alignment horizontal="center"/>
    </xf>
    <xf numFmtId="9" fontId="1" fillId="0" borderId="0" xfId="8" applyFont="1" applyAlignment="1">
      <alignment horizontal="center"/>
    </xf>
    <xf numFmtId="9" fontId="48" fillId="0" borderId="0" xfId="8" applyFont="1" applyAlignment="1">
      <alignment horizontal="center"/>
    </xf>
    <xf numFmtId="43" fontId="1" fillId="0" borderId="0" xfId="7" applyFont="1" applyFill="1" applyAlignment="1">
      <alignment horizontal="center"/>
    </xf>
    <xf numFmtId="0" fontId="1" fillId="5" borderId="0" xfId="6" applyFill="1"/>
    <xf numFmtId="0" fontId="1" fillId="5" borderId="0" xfId="6" applyFill="1" applyAlignment="1">
      <alignment horizontal="center"/>
    </xf>
    <xf numFmtId="0" fontId="13" fillId="5" borderId="0" xfId="6" applyFont="1" applyFill="1"/>
    <xf numFmtId="0" fontId="1" fillId="7" borderId="0" xfId="6" applyFill="1"/>
    <xf numFmtId="0" fontId="1" fillId="7" borderId="0" xfId="6" applyFill="1" applyAlignment="1">
      <alignment horizontal="center"/>
    </xf>
    <xf numFmtId="0" fontId="13" fillId="7" borderId="0" xfId="6" applyFont="1" applyFill="1"/>
    <xf numFmtId="0" fontId="24" fillId="7" borderId="0" xfId="6" applyFont="1" applyFill="1" applyAlignment="1">
      <alignment horizontal="center"/>
    </xf>
    <xf numFmtId="0" fontId="3" fillId="7" borderId="0" xfId="6" applyFont="1" applyFill="1"/>
    <xf numFmtId="0" fontId="49" fillId="11" borderId="0" xfId="6" applyFont="1" applyFill="1" applyAlignment="1">
      <alignment horizontal="center"/>
    </xf>
    <xf numFmtId="0" fontId="3" fillId="6" borderId="22" xfId="6" applyFont="1" applyFill="1" applyBorder="1" applyAlignment="1">
      <alignment horizontal="center"/>
    </xf>
    <xf numFmtId="0" fontId="3" fillId="6" borderId="23" xfId="6" applyFont="1" applyFill="1" applyBorder="1" applyAlignment="1">
      <alignment horizontal="left" vertical="center"/>
    </xf>
    <xf numFmtId="0" fontId="25" fillId="6" borderId="23" xfId="6" applyFont="1" applyFill="1" applyBorder="1" applyAlignment="1">
      <alignment horizontal="center" vertical="center" wrapText="1"/>
    </xf>
    <xf numFmtId="0" fontId="3" fillId="6" borderId="23" xfId="6" applyFont="1" applyFill="1" applyBorder="1" applyAlignment="1">
      <alignment horizontal="center"/>
    </xf>
    <xf numFmtId="0" fontId="26" fillId="6" borderId="23" xfId="6" applyFont="1" applyFill="1" applyBorder="1" applyAlignment="1">
      <alignment horizontal="center"/>
    </xf>
    <xf numFmtId="17" fontId="27" fillId="6" borderId="23" xfId="6" applyNumberFormat="1" applyFont="1" applyFill="1" applyBorder="1" applyAlignment="1">
      <alignment horizontal="center"/>
    </xf>
    <xf numFmtId="0" fontId="3" fillId="6" borderId="24" xfId="6" applyFont="1" applyFill="1" applyBorder="1" applyAlignment="1">
      <alignment horizontal="center"/>
    </xf>
    <xf numFmtId="0" fontId="50" fillId="0" borderId="0" xfId="6" applyFont="1"/>
    <xf numFmtId="0" fontId="50" fillId="17" borderId="25" xfId="6" applyFont="1" applyFill="1" applyBorder="1"/>
    <xf numFmtId="0" fontId="50" fillId="17" borderId="0" xfId="6" applyFont="1" applyFill="1"/>
    <xf numFmtId="0" fontId="50" fillId="17" borderId="0" xfId="6" applyFont="1" applyFill="1" applyAlignment="1">
      <alignment horizontal="center"/>
    </xf>
    <xf numFmtId="0" fontId="51" fillId="17" borderId="0" xfId="6" applyFont="1" applyFill="1"/>
    <xf numFmtId="0" fontId="50" fillId="17" borderId="26" xfId="6" applyFont="1" applyFill="1" applyBorder="1"/>
    <xf numFmtId="0" fontId="52" fillId="0" borderId="0" xfId="6" applyFont="1" applyAlignment="1">
      <alignment horizontal="center" vertical="center"/>
    </xf>
    <xf numFmtId="0" fontId="50" fillId="18" borderId="25" xfId="6" applyFont="1" applyFill="1" applyBorder="1" applyAlignment="1">
      <alignment horizontal="center" vertical="center"/>
    </xf>
    <xf numFmtId="0" fontId="50" fillId="18" borderId="0" xfId="6" applyFont="1" applyFill="1" applyAlignment="1">
      <alignment horizontal="center" vertical="center"/>
    </xf>
    <xf numFmtId="0" fontId="51" fillId="18" borderId="0" xfId="6" applyFont="1" applyFill="1" applyAlignment="1">
      <alignment horizontal="center" vertical="center" wrapText="1"/>
    </xf>
    <xf numFmtId="0" fontId="53" fillId="18" borderId="0" xfId="6" applyFont="1" applyFill="1" applyAlignment="1">
      <alignment horizontal="center" vertical="center"/>
    </xf>
    <xf numFmtId="17" fontId="54" fillId="18" borderId="0" xfId="6" applyNumberFormat="1" applyFont="1" applyFill="1" applyAlignment="1">
      <alignment horizontal="center" vertical="center"/>
    </xf>
    <xf numFmtId="0" fontId="50" fillId="18" borderId="26" xfId="6" applyFont="1" applyFill="1" applyBorder="1" applyAlignment="1">
      <alignment horizontal="center" vertical="center"/>
    </xf>
    <xf numFmtId="0" fontId="52" fillId="0" borderId="0" xfId="6" applyFont="1"/>
    <xf numFmtId="0" fontId="50" fillId="8" borderId="25" xfId="6" applyFont="1" applyFill="1" applyBorder="1" applyAlignment="1">
      <alignment horizontal="center"/>
    </xf>
    <xf numFmtId="0" fontId="50" fillId="8" borderId="0" xfId="6" applyFont="1" applyFill="1" applyAlignment="1">
      <alignment horizontal="center"/>
    </xf>
    <xf numFmtId="0" fontId="51" fillId="8" borderId="0" xfId="6" applyFont="1" applyFill="1" applyAlignment="1">
      <alignment horizontal="center" wrapText="1"/>
    </xf>
    <xf numFmtId="0" fontId="50" fillId="8" borderId="0" xfId="6" applyFont="1" applyFill="1" applyAlignment="1">
      <alignment horizontal="center" wrapText="1"/>
    </xf>
    <xf numFmtId="43" fontId="50" fillId="8" borderId="0" xfId="6" applyNumberFormat="1" applyFont="1" applyFill="1" applyAlignment="1">
      <alignment horizontal="center"/>
    </xf>
    <xf numFmtId="9" fontId="50" fillId="8" borderId="0" xfId="8" applyFont="1" applyFill="1" applyBorder="1" applyAlignment="1">
      <alignment horizontal="center"/>
    </xf>
    <xf numFmtId="0" fontId="50" fillId="8" borderId="26" xfId="6" applyFont="1" applyFill="1" applyBorder="1" applyAlignment="1">
      <alignment horizontal="center"/>
    </xf>
    <xf numFmtId="0" fontId="52" fillId="0" borderId="25" xfId="6" applyFont="1" applyBorder="1" applyAlignment="1">
      <alignment horizontal="center"/>
    </xf>
    <xf numFmtId="0" fontId="41" fillId="0" borderId="0" xfId="6" applyFont="1"/>
    <xf numFmtId="167" fontId="55" fillId="0" borderId="0" xfId="7" applyNumberFormat="1" applyFont="1" applyFill="1" applyBorder="1" applyAlignment="1">
      <alignment horizontal="center"/>
    </xf>
    <xf numFmtId="167" fontId="52" fillId="0" borderId="0" xfId="7" applyNumberFormat="1" applyFont="1" applyBorder="1"/>
    <xf numFmtId="167" fontId="52" fillId="0" borderId="26" xfId="7" applyNumberFormat="1" applyFont="1" applyBorder="1"/>
    <xf numFmtId="167" fontId="3" fillId="13" borderId="25" xfId="7" applyNumberFormat="1" applyFont="1" applyFill="1" applyBorder="1" applyAlignment="1">
      <alignment horizontal="center"/>
    </xf>
    <xf numFmtId="167" fontId="26" fillId="13" borderId="0" xfId="7" applyNumberFormat="1" applyFont="1" applyFill="1" applyBorder="1" applyAlignment="1">
      <alignment horizontal="center"/>
    </xf>
    <xf numFmtId="167" fontId="3" fillId="13" borderId="0" xfId="7" applyNumberFormat="1" applyFont="1" applyFill="1" applyBorder="1" applyAlignment="1">
      <alignment horizontal="center"/>
    </xf>
    <xf numFmtId="167" fontId="3" fillId="13" borderId="26" xfId="7" applyNumberFormat="1" applyFont="1" applyFill="1" applyBorder="1" applyAlignment="1">
      <alignment horizontal="center"/>
    </xf>
    <xf numFmtId="43" fontId="56" fillId="0" borderId="0" xfId="7" applyFont="1" applyBorder="1"/>
    <xf numFmtId="43" fontId="56" fillId="0" borderId="25" xfId="7" applyFont="1" applyBorder="1" applyAlignment="1">
      <alignment horizontal="center"/>
    </xf>
    <xf numFmtId="43" fontId="56" fillId="0" borderId="0" xfId="7" applyFont="1" applyBorder="1" applyAlignment="1">
      <alignment horizontal="center"/>
    </xf>
    <xf numFmtId="43" fontId="56" fillId="0" borderId="26" xfId="7" applyFont="1" applyBorder="1"/>
    <xf numFmtId="0" fontId="3" fillId="13" borderId="25" xfId="6" applyFont="1" applyFill="1" applyBorder="1" applyAlignment="1">
      <alignment horizontal="center"/>
    </xf>
    <xf numFmtId="0" fontId="3" fillId="13" borderId="27" xfId="6" applyFont="1" applyFill="1" applyBorder="1" applyAlignment="1">
      <alignment horizontal="center"/>
    </xf>
    <xf numFmtId="0" fontId="3" fillId="13" borderId="28" xfId="6" applyFont="1" applyFill="1" applyBorder="1"/>
    <xf numFmtId="0" fontId="25" fillId="13" borderId="28" xfId="6" applyFont="1" applyFill="1" applyBorder="1"/>
    <xf numFmtId="167" fontId="26" fillId="13" borderId="28" xfId="7" applyNumberFormat="1" applyFont="1" applyFill="1" applyBorder="1" applyAlignment="1">
      <alignment horizontal="center"/>
    </xf>
    <xf numFmtId="167" fontId="3" fillId="13" borderId="28" xfId="7" applyNumberFormat="1" applyFont="1" applyFill="1" applyBorder="1" applyAlignment="1">
      <alignment horizontal="center"/>
    </xf>
    <xf numFmtId="167" fontId="3" fillId="13" borderId="29" xfId="7" applyNumberFormat="1" applyFont="1" applyFill="1" applyBorder="1" applyAlignment="1">
      <alignment horizontal="center"/>
    </xf>
    <xf numFmtId="9" fontId="52" fillId="0" borderId="0" xfId="6" applyNumberFormat="1" applyFont="1"/>
    <xf numFmtId="43" fontId="55" fillId="0" borderId="0" xfId="7" applyFont="1" applyFill="1" applyBorder="1" applyAlignment="1">
      <alignment horizontal="center"/>
    </xf>
    <xf numFmtId="43" fontId="52" fillId="0" borderId="0" xfId="7" applyFont="1" applyBorder="1"/>
    <xf numFmtId="43" fontId="52" fillId="0" borderId="26" xfId="7" applyFont="1" applyBorder="1"/>
    <xf numFmtId="43" fontId="26" fillId="13" borderId="0" xfId="7" applyFont="1" applyFill="1" applyBorder="1" applyAlignment="1">
      <alignment horizontal="center"/>
    </xf>
    <xf numFmtId="43" fontId="3" fillId="13" borderId="0" xfId="7" applyFont="1" applyFill="1" applyBorder="1" applyAlignment="1">
      <alignment horizontal="center"/>
    </xf>
    <xf numFmtId="43" fontId="3" fillId="13" borderId="26" xfId="7" applyFont="1" applyFill="1" applyBorder="1" applyAlignment="1">
      <alignment horizontal="center"/>
    </xf>
    <xf numFmtId="43" fontId="26" fillId="13" borderId="28" xfId="7" applyFont="1" applyFill="1" applyBorder="1" applyAlignment="1">
      <alignment horizontal="center"/>
    </xf>
    <xf numFmtId="43" fontId="3" fillId="13" borderId="28" xfId="7" applyFont="1" applyFill="1" applyBorder="1" applyAlignment="1">
      <alignment horizontal="center"/>
    </xf>
    <xf numFmtId="43" fontId="3" fillId="13" borderId="29" xfId="7" applyFont="1" applyFill="1" applyBorder="1" applyAlignment="1">
      <alignment horizontal="center"/>
    </xf>
    <xf numFmtId="0" fontId="52" fillId="5" borderId="0" xfId="6" applyFont="1" applyFill="1"/>
    <xf numFmtId="0" fontId="57" fillId="19" borderId="22" xfId="6" applyFont="1" applyFill="1" applyBorder="1" applyAlignment="1">
      <alignment horizontal="center"/>
    </xf>
    <xf numFmtId="0" fontId="57" fillId="19" borderId="23" xfId="6" applyFont="1" applyFill="1" applyBorder="1"/>
    <xf numFmtId="0" fontId="58" fillId="19" borderId="23" xfId="6" applyFont="1" applyFill="1" applyBorder="1"/>
    <xf numFmtId="0" fontId="57" fillId="19" borderId="23" xfId="6" applyFont="1" applyFill="1" applyBorder="1" applyAlignment="1">
      <alignment horizontal="center"/>
    </xf>
    <xf numFmtId="0" fontId="57" fillId="19" borderId="24" xfId="6" applyFont="1" applyFill="1" applyBorder="1"/>
    <xf numFmtId="43" fontId="52" fillId="0" borderId="26" xfId="7" applyFont="1" applyFill="1" applyBorder="1"/>
    <xf numFmtId="43" fontId="52" fillId="0" borderId="0" xfId="7" applyFont="1"/>
    <xf numFmtId="43" fontId="50" fillId="20" borderId="27" xfId="7" applyFont="1" applyFill="1" applyBorder="1" applyAlignment="1">
      <alignment horizontal="center"/>
    </xf>
    <xf numFmtId="43" fontId="50" fillId="20" borderId="28" xfId="7" applyFont="1" applyFill="1" applyBorder="1"/>
    <xf numFmtId="43" fontId="51" fillId="20" borderId="28" xfId="7" applyFont="1" applyFill="1" applyBorder="1"/>
    <xf numFmtId="43" fontId="53" fillId="20" borderId="28" xfId="7" applyFont="1" applyFill="1" applyBorder="1" applyAlignment="1">
      <alignment horizontal="center"/>
    </xf>
    <xf numFmtId="43" fontId="54" fillId="20" borderId="28" xfId="7" applyFont="1" applyFill="1" applyBorder="1" applyAlignment="1">
      <alignment horizontal="center"/>
    </xf>
    <xf numFmtId="43" fontId="50" fillId="20" borderId="29" xfId="7" applyFont="1" applyFill="1" applyBorder="1"/>
    <xf numFmtId="0" fontId="59" fillId="0" borderId="0" xfId="6" applyFont="1"/>
    <xf numFmtId="0" fontId="59" fillId="0" borderId="0" xfId="6" applyFont="1" applyAlignment="1">
      <alignment horizontal="center"/>
    </xf>
    <xf numFmtId="43" fontId="59" fillId="0" borderId="0" xfId="6" applyNumberFormat="1" applyFont="1" applyAlignment="1">
      <alignment horizontal="center"/>
    </xf>
    <xf numFmtId="0" fontId="60" fillId="0" borderId="0" xfId="6" applyFont="1"/>
    <xf numFmtId="0" fontId="60" fillId="0" borderId="0" xfId="6" applyFont="1" applyAlignment="1">
      <alignment horizontal="center"/>
    </xf>
    <xf numFmtId="43" fontId="60" fillId="0" borderId="0" xfId="6" applyNumberFormat="1" applyFont="1"/>
    <xf numFmtId="43" fontId="61" fillId="0" borderId="0" xfId="7" applyFont="1"/>
    <xf numFmtId="43" fontId="62" fillId="5" borderId="27" xfId="7" applyFont="1" applyFill="1" applyBorder="1" applyAlignment="1">
      <alignment horizontal="center"/>
    </xf>
    <xf numFmtId="43" fontId="62" fillId="5" borderId="28" xfId="7" applyFont="1" applyFill="1" applyBorder="1"/>
    <xf numFmtId="43" fontId="63" fillId="5" borderId="28" xfId="7" applyFont="1" applyFill="1" applyBorder="1" applyAlignment="1">
      <alignment horizontal="center"/>
    </xf>
    <xf numFmtId="43" fontId="64" fillId="5" borderId="28" xfId="7" applyFont="1" applyFill="1" applyBorder="1" applyAlignment="1">
      <alignment horizontal="center"/>
    </xf>
    <xf numFmtId="43" fontId="62" fillId="5" borderId="30" xfId="7" applyFont="1" applyFill="1" applyBorder="1"/>
    <xf numFmtId="43" fontId="62" fillId="5" borderId="31" xfId="7" applyFont="1" applyFill="1" applyBorder="1"/>
    <xf numFmtId="43" fontId="62" fillId="5" borderId="29" xfId="7" applyFont="1" applyFill="1" applyBorder="1"/>
    <xf numFmtId="0" fontId="27" fillId="0" borderId="0" xfId="6" applyFont="1" applyAlignment="1">
      <alignment horizontal="center"/>
    </xf>
    <xf numFmtId="0" fontId="65" fillId="21" borderId="0" xfId="6" applyFont="1" applyFill="1" applyAlignment="1">
      <alignment horizontal="center"/>
    </xf>
    <xf numFmtId="0" fontId="65" fillId="21" borderId="0" xfId="6" applyFont="1" applyFill="1"/>
    <xf numFmtId="43" fontId="65" fillId="21" borderId="0" xfId="7" applyFont="1" applyFill="1" applyAlignment="1">
      <alignment horizontal="center"/>
    </xf>
    <xf numFmtId="43" fontId="65" fillId="21" borderId="27" xfId="7" applyFont="1" applyFill="1" applyBorder="1" applyAlignment="1">
      <alignment horizontal="center"/>
    </xf>
    <xf numFmtId="43" fontId="65" fillId="21" borderId="29" xfId="7" applyFont="1" applyFill="1" applyBorder="1" applyAlignment="1">
      <alignment horizontal="center"/>
    </xf>
    <xf numFmtId="0" fontId="15" fillId="0" borderId="0" xfId="6" applyFont="1"/>
    <xf numFmtId="0" fontId="15" fillId="0" borderId="0" xfId="6" applyFont="1" applyAlignment="1">
      <alignment horizontal="center"/>
    </xf>
    <xf numFmtId="0" fontId="14" fillId="0" borderId="0" xfId="6" applyFont="1"/>
    <xf numFmtId="0" fontId="66" fillId="0" borderId="0" xfId="6" applyFont="1" applyAlignment="1">
      <alignment horizontal="center"/>
    </xf>
    <xf numFmtId="0" fontId="67" fillId="0" borderId="0" xfId="6" applyFont="1"/>
    <xf numFmtId="168" fontId="1" fillId="0" borderId="0" xfId="6" applyNumberFormat="1"/>
    <xf numFmtId="169" fontId="1" fillId="0" borderId="0" xfId="6" applyNumberFormat="1"/>
    <xf numFmtId="170" fontId="1" fillId="0" borderId="0" xfId="6" applyNumberFormat="1"/>
    <xf numFmtId="9" fontId="0" fillId="0" borderId="0" xfId="0" applyNumberFormat="1"/>
    <xf numFmtId="0" fontId="3" fillId="22" borderId="0" xfId="0" applyFont="1" applyFill="1" applyAlignment="1">
      <alignment vertical="center"/>
    </xf>
    <xf numFmtId="171" fontId="0" fillId="0" borderId="0" xfId="1" applyNumberFormat="1" applyFont="1"/>
    <xf numFmtId="0" fontId="3" fillId="0" borderId="0" xfId="0" applyFont="1" applyAlignment="1">
      <alignment horizontal="center" vertical="center"/>
    </xf>
    <xf numFmtId="0" fontId="3" fillId="22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wrapText="1"/>
    </xf>
    <xf numFmtId="0" fontId="3" fillId="22" borderId="0" xfId="0" applyFont="1" applyFill="1" applyAlignment="1">
      <alignment horizontal="left" vertical="center"/>
    </xf>
    <xf numFmtId="171" fontId="0" fillId="0" borderId="0" xfId="0" applyNumberFormat="1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171" fontId="0" fillId="5" borderId="0" xfId="1" applyNumberFormat="1" applyFont="1" applyFill="1"/>
    <xf numFmtId="171" fontId="0" fillId="5" borderId="0" xfId="1" applyNumberFormat="1" applyFont="1" applyFill="1" applyAlignment="1">
      <alignment horizontal="center"/>
    </xf>
    <xf numFmtId="0" fontId="0" fillId="5" borderId="0" xfId="0" applyFill="1"/>
    <xf numFmtId="164" fontId="0" fillId="5" borderId="0" xfId="1" applyFont="1" applyFill="1" applyAlignment="1">
      <alignment horizontal="center"/>
    </xf>
    <xf numFmtId="0" fontId="0" fillId="5" borderId="0" xfId="0" applyFill="1" applyAlignment="1">
      <alignment horizontal="center"/>
    </xf>
    <xf numFmtId="0" fontId="69" fillId="0" borderId="0" xfId="0" applyFont="1" applyAlignment="1">
      <alignment horizontal="left" vertical="center"/>
    </xf>
    <xf numFmtId="9" fontId="0" fillId="5" borderId="0" xfId="0" applyNumberFormat="1" applyFill="1"/>
    <xf numFmtId="9" fontId="69" fillId="5" borderId="0" xfId="0" applyNumberFormat="1" applyFont="1" applyFill="1" applyAlignment="1">
      <alignment horizontal="right" vertical="center"/>
    </xf>
    <xf numFmtId="2" fontId="0" fillId="5" borderId="0" xfId="0" applyNumberFormat="1" applyFill="1"/>
    <xf numFmtId="0" fontId="0" fillId="24" borderId="0" xfId="0" applyFill="1"/>
    <xf numFmtId="0" fontId="0" fillId="3" borderId="0" xfId="0" applyFill="1"/>
    <xf numFmtId="0" fontId="0" fillId="25" borderId="0" xfId="0" applyFill="1"/>
    <xf numFmtId="0" fontId="68" fillId="0" borderId="0" xfId="0" applyFont="1" applyAlignment="1">
      <alignment vertical="center"/>
    </xf>
    <xf numFmtId="9" fontId="70" fillId="0" borderId="0" xfId="0" applyNumberFormat="1" applyFont="1"/>
    <xf numFmtId="0" fontId="5" fillId="0" borderId="0" xfId="3"/>
    <xf numFmtId="0" fontId="71" fillId="7" borderId="0" xfId="0" applyFont="1" applyFill="1" applyAlignment="1">
      <alignment horizontal="center"/>
    </xf>
    <xf numFmtId="167" fontId="21" fillId="0" borderId="0" xfId="0" applyNumberFormat="1" applyFont="1"/>
    <xf numFmtId="0" fontId="21" fillId="0" borderId="5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167" fontId="21" fillId="0" borderId="18" xfId="0" applyNumberFormat="1" applyFont="1" applyBorder="1" applyAlignment="1">
      <alignment vertical="center"/>
    </xf>
    <xf numFmtId="167" fontId="21" fillId="0" borderId="14" xfId="0" applyNumberFormat="1" applyFont="1" applyBorder="1" applyAlignment="1">
      <alignment vertical="center"/>
    </xf>
    <xf numFmtId="167" fontId="21" fillId="0" borderId="0" xfId="0" applyNumberFormat="1" applyFont="1" applyAlignment="1">
      <alignment vertical="center"/>
    </xf>
    <xf numFmtId="167" fontId="21" fillId="0" borderId="17" xfId="0" applyNumberFormat="1" applyFont="1" applyBorder="1" applyAlignment="1">
      <alignment vertical="center"/>
    </xf>
    <xf numFmtId="171" fontId="0" fillId="0" borderId="5" xfId="1" applyNumberFormat="1" applyFont="1" applyBorder="1"/>
    <xf numFmtId="171" fontId="19" fillId="0" borderId="5" xfId="1" applyNumberFormat="1" applyFont="1" applyBorder="1"/>
    <xf numFmtId="0" fontId="19" fillId="0" borderId="15" xfId="4" applyFont="1" applyBorder="1" applyAlignment="1">
      <alignment horizontal="center" wrapText="1"/>
    </xf>
    <xf numFmtId="0" fontId="19" fillId="0" borderId="0" xfId="4" applyFont="1" applyAlignment="1">
      <alignment horizontal="center" vertical="center"/>
    </xf>
    <xf numFmtId="0" fontId="0" fillId="23" borderId="0" xfId="0" applyFill="1"/>
    <xf numFmtId="0" fontId="72" fillId="0" borderId="0" xfId="0" applyFont="1"/>
    <xf numFmtId="9" fontId="0" fillId="5" borderId="0" xfId="2" applyFont="1" applyFill="1"/>
    <xf numFmtId="0" fontId="73" fillId="0" borderId="0" xfId="0" applyFont="1"/>
    <xf numFmtId="0" fontId="73" fillId="0" borderId="0" xfId="0" quotePrefix="1" applyFont="1" applyAlignment="1">
      <alignment horizontal="center"/>
    </xf>
    <xf numFmtId="0" fontId="7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3" borderId="4" xfId="0" applyFont="1" applyFill="1" applyBorder="1"/>
    <xf numFmtId="0" fontId="6" fillId="3" borderId="5" xfId="0" applyFont="1" applyFill="1" applyBorder="1"/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 wrapText="1"/>
    </xf>
    <xf numFmtId="0" fontId="21" fillId="0" borderId="7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18" fillId="7" borderId="12" xfId="4" applyFont="1" applyFill="1" applyBorder="1" applyAlignment="1">
      <alignment horizontal="center"/>
    </xf>
    <xf numFmtId="0" fontId="19" fillId="0" borderId="7" xfId="4" applyFont="1" applyBorder="1" applyAlignment="1">
      <alignment horizontal="center" vertical="center"/>
    </xf>
    <xf numFmtId="0" fontId="19" fillId="0" borderId="15" xfId="4" applyFont="1" applyBorder="1" applyAlignment="1">
      <alignment horizontal="center" vertical="center"/>
    </xf>
    <xf numFmtId="0" fontId="19" fillId="0" borderId="12" xfId="4" applyFont="1" applyBorder="1" applyAlignment="1">
      <alignment horizontal="center"/>
    </xf>
  </cellXfs>
  <cellStyles count="9">
    <cellStyle name="Comma" xfId="1" builtinId="3"/>
    <cellStyle name="Comma 2" xfId="5" xr:uid="{89180D38-961C-8143-88B0-A1DEA48D6FBB}"/>
    <cellStyle name="Comma 3" xfId="7" xr:uid="{90A6BF72-4F94-5646-B1A5-0A54E22F576E}"/>
    <cellStyle name="Normal" xfId="0" builtinId="0"/>
    <cellStyle name="Normal 13" xfId="3" xr:uid="{85136E02-C262-6D4D-A0C4-331434363409}"/>
    <cellStyle name="Normal 2" xfId="4" xr:uid="{2A683E85-1D63-3049-BB02-E492D200ABF3}"/>
    <cellStyle name="Normal 3" xfId="6" xr:uid="{402CBE70-B2A5-CB45-A738-CC4BBCFD4CE8}"/>
    <cellStyle name="Percent" xfId="2" builtinId="5"/>
    <cellStyle name="Percent 2" xfId="8" xr:uid="{12D4CEC8-079A-4944-AEE5-EEB52D3ADF6E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0.xml"/><Relationship Id="rId21" Type="http://schemas.openxmlformats.org/officeDocument/2006/relationships/externalLink" Target="externalLinks/externalLink12.xml"/><Relationship Id="rId34" Type="http://schemas.openxmlformats.org/officeDocument/2006/relationships/externalLink" Target="externalLinks/externalLink25.xml"/><Relationship Id="rId42" Type="http://schemas.openxmlformats.org/officeDocument/2006/relationships/externalLink" Target="externalLinks/externalLink33.xml"/><Relationship Id="rId47" Type="http://schemas.openxmlformats.org/officeDocument/2006/relationships/externalLink" Target="externalLinks/externalLink38.xml"/><Relationship Id="rId50" Type="http://schemas.openxmlformats.org/officeDocument/2006/relationships/externalLink" Target="externalLinks/externalLink41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9" Type="http://schemas.openxmlformats.org/officeDocument/2006/relationships/externalLink" Target="externalLinks/externalLink20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externalLink" Target="externalLinks/externalLink23.xml"/><Relationship Id="rId37" Type="http://schemas.openxmlformats.org/officeDocument/2006/relationships/externalLink" Target="externalLinks/externalLink28.xml"/><Relationship Id="rId40" Type="http://schemas.openxmlformats.org/officeDocument/2006/relationships/externalLink" Target="externalLinks/externalLink31.xml"/><Relationship Id="rId45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44.xml"/><Relationship Id="rId58" Type="http://schemas.microsoft.com/office/2017/10/relationships/person" Target="persons/person.xml"/><Relationship Id="rId5" Type="http://schemas.openxmlformats.org/officeDocument/2006/relationships/worksheet" Target="worksheets/sheet5.xml"/><Relationship Id="rId19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35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34.xml"/><Relationship Id="rId48" Type="http://schemas.openxmlformats.org/officeDocument/2006/relationships/externalLink" Target="externalLinks/externalLink39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2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24.xml"/><Relationship Id="rId38" Type="http://schemas.openxmlformats.org/officeDocument/2006/relationships/externalLink" Target="externalLinks/externalLink29.xml"/><Relationship Id="rId46" Type="http://schemas.openxmlformats.org/officeDocument/2006/relationships/externalLink" Target="externalLinks/externalLink37.xml"/><Relationship Id="rId59" Type="http://schemas.openxmlformats.org/officeDocument/2006/relationships/calcChain" Target="calcChain.xml"/><Relationship Id="rId20" Type="http://schemas.openxmlformats.org/officeDocument/2006/relationships/externalLink" Target="externalLinks/externalLink11.xml"/><Relationship Id="rId41" Type="http://schemas.openxmlformats.org/officeDocument/2006/relationships/externalLink" Target="externalLinks/externalLink32.xml"/><Relationship Id="rId54" Type="http://schemas.openxmlformats.org/officeDocument/2006/relationships/externalLink" Target="externalLinks/externalLink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36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0.xml"/><Relationship Id="rId57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31" Type="http://schemas.openxmlformats.org/officeDocument/2006/relationships/externalLink" Target="externalLinks/externalLink22.xml"/><Relationship Id="rId44" Type="http://schemas.openxmlformats.org/officeDocument/2006/relationships/externalLink" Target="externalLinks/externalLink35.xml"/><Relationship Id="rId52" Type="http://schemas.openxmlformats.org/officeDocument/2006/relationships/externalLink" Target="externalLinks/externalLink4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711200</xdr:colOff>
      <xdr:row>7</xdr:row>
      <xdr:rowOff>88900</xdr:rowOff>
    </xdr:from>
    <xdr:to>
      <xdr:col>3</xdr:col>
      <xdr:colOff>114300</xdr:colOff>
      <xdr:row>13</xdr:row>
      <xdr:rowOff>114300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50684FC6-CB33-E80A-1E7C-F9B74E692DAE}"/>
            </a:ext>
          </a:extLst>
        </xdr:cNvPr>
        <xdr:cNvSpPr/>
      </xdr:nvSpPr>
      <xdr:spPr>
        <a:xfrm>
          <a:off x="711200" y="850900"/>
          <a:ext cx="1879600" cy="91440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698500</xdr:colOff>
      <xdr:row>7</xdr:row>
      <xdr:rowOff>88900</xdr:rowOff>
    </xdr:from>
    <xdr:to>
      <xdr:col>9</xdr:col>
      <xdr:colOff>101600</xdr:colOff>
      <xdr:row>13</xdr:row>
      <xdr:rowOff>114300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F43FA290-8944-EB47-9472-572A81631013}"/>
            </a:ext>
          </a:extLst>
        </xdr:cNvPr>
        <xdr:cNvSpPr/>
      </xdr:nvSpPr>
      <xdr:spPr>
        <a:xfrm>
          <a:off x="5892800" y="850900"/>
          <a:ext cx="1879600" cy="91440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800100</xdr:colOff>
      <xdr:row>7</xdr:row>
      <xdr:rowOff>139700</xdr:rowOff>
    </xdr:from>
    <xdr:to>
      <xdr:col>6</xdr:col>
      <xdr:colOff>0</xdr:colOff>
      <xdr:row>13</xdr:row>
      <xdr:rowOff>139700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511763BE-961C-D64B-8C6F-59423CED5F61}"/>
            </a:ext>
          </a:extLst>
        </xdr:cNvPr>
        <xdr:cNvSpPr/>
      </xdr:nvSpPr>
      <xdr:spPr>
        <a:xfrm>
          <a:off x="3276600" y="901700"/>
          <a:ext cx="1917700" cy="88900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825500</xdr:colOff>
      <xdr:row>7</xdr:row>
      <xdr:rowOff>88900</xdr:rowOff>
    </xdr:from>
    <xdr:to>
      <xdr:col>12</xdr:col>
      <xdr:colOff>127000</xdr:colOff>
      <xdr:row>13</xdr:row>
      <xdr:rowOff>139700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9CEEC2C8-016B-6B4A-AA70-5290B55F6E08}"/>
            </a:ext>
          </a:extLst>
        </xdr:cNvPr>
        <xdr:cNvSpPr/>
      </xdr:nvSpPr>
      <xdr:spPr>
        <a:xfrm>
          <a:off x="8496300" y="850900"/>
          <a:ext cx="1917700" cy="93980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177800</xdr:colOff>
      <xdr:row>9</xdr:row>
      <xdr:rowOff>50800</xdr:rowOff>
    </xdr:from>
    <xdr:to>
      <xdr:col>3</xdr:col>
      <xdr:colOff>737108</xdr:colOff>
      <xdr:row>12</xdr:row>
      <xdr:rowOff>0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1DC814C4-0445-CA1F-C4F7-F2FDC92A8F85}"/>
            </a:ext>
          </a:extLst>
        </xdr:cNvPr>
        <xdr:cNvSpPr/>
      </xdr:nvSpPr>
      <xdr:spPr>
        <a:xfrm>
          <a:off x="2654300" y="1193800"/>
          <a:ext cx="559308" cy="2667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76200</xdr:colOff>
      <xdr:row>9</xdr:row>
      <xdr:rowOff>50800</xdr:rowOff>
    </xdr:from>
    <xdr:to>
      <xdr:col>6</xdr:col>
      <xdr:colOff>635508</xdr:colOff>
      <xdr:row>12</xdr:row>
      <xdr:rowOff>0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51FA68DE-4AF6-DC43-AFBE-21100A829170}"/>
            </a:ext>
          </a:extLst>
        </xdr:cNvPr>
        <xdr:cNvSpPr/>
      </xdr:nvSpPr>
      <xdr:spPr>
        <a:xfrm>
          <a:off x="5270500" y="1193800"/>
          <a:ext cx="559308" cy="2667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215900</xdr:colOff>
      <xdr:row>9</xdr:row>
      <xdr:rowOff>50800</xdr:rowOff>
    </xdr:from>
    <xdr:to>
      <xdr:col>9</xdr:col>
      <xdr:colOff>775208</xdr:colOff>
      <xdr:row>12</xdr:row>
      <xdr:rowOff>0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10AFDA81-6FD9-7543-98BF-40988AC6E4D5}"/>
            </a:ext>
          </a:extLst>
        </xdr:cNvPr>
        <xdr:cNvSpPr/>
      </xdr:nvSpPr>
      <xdr:spPr>
        <a:xfrm>
          <a:off x="7886700" y="1193800"/>
          <a:ext cx="559308" cy="2667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673100</xdr:colOff>
      <xdr:row>3</xdr:row>
      <xdr:rowOff>114300</xdr:rowOff>
    </xdr:from>
    <xdr:to>
      <xdr:col>2</xdr:col>
      <xdr:colOff>165100</xdr:colOff>
      <xdr:row>6</xdr:row>
      <xdr:rowOff>152908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id="{2235DFCF-0E87-AE67-C6C3-E138A776830A}"/>
            </a:ext>
          </a:extLst>
        </xdr:cNvPr>
        <xdr:cNvSpPr/>
      </xdr:nvSpPr>
      <xdr:spPr>
        <a:xfrm>
          <a:off x="1498600" y="495300"/>
          <a:ext cx="317500" cy="61010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12700</xdr:colOff>
      <xdr:row>3</xdr:row>
      <xdr:rowOff>114300</xdr:rowOff>
    </xdr:from>
    <xdr:to>
      <xdr:col>5</xdr:col>
      <xdr:colOff>330200</xdr:colOff>
      <xdr:row>6</xdr:row>
      <xdr:rowOff>152908</xdr:rowOff>
    </xdr:to>
    <xdr:sp macro="" textlink="">
      <xdr:nvSpPr>
        <xdr:cNvPr id="11" name="Down Arrow 10">
          <a:extLst>
            <a:ext uri="{FF2B5EF4-FFF2-40B4-BE49-F238E27FC236}">
              <a16:creationId xmlns:a16="http://schemas.microsoft.com/office/drawing/2014/main" id="{DE8DDDAC-8934-E94F-82FD-F5B9568B70A3}"/>
            </a:ext>
          </a:extLst>
        </xdr:cNvPr>
        <xdr:cNvSpPr/>
      </xdr:nvSpPr>
      <xdr:spPr>
        <a:xfrm>
          <a:off x="4140200" y="495300"/>
          <a:ext cx="317500" cy="61010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660400</xdr:colOff>
      <xdr:row>3</xdr:row>
      <xdr:rowOff>88900</xdr:rowOff>
    </xdr:from>
    <xdr:to>
      <xdr:col>8</xdr:col>
      <xdr:colOff>152400</xdr:colOff>
      <xdr:row>6</xdr:row>
      <xdr:rowOff>127508</xdr:rowOff>
    </xdr:to>
    <xdr:sp macro="" textlink="">
      <xdr:nvSpPr>
        <xdr:cNvPr id="12" name="Down Arrow 11">
          <a:extLst>
            <a:ext uri="{FF2B5EF4-FFF2-40B4-BE49-F238E27FC236}">
              <a16:creationId xmlns:a16="http://schemas.microsoft.com/office/drawing/2014/main" id="{A64CB561-76B5-414D-81CB-E04ADD3802C3}"/>
            </a:ext>
          </a:extLst>
        </xdr:cNvPr>
        <xdr:cNvSpPr/>
      </xdr:nvSpPr>
      <xdr:spPr>
        <a:xfrm>
          <a:off x="6680200" y="469900"/>
          <a:ext cx="317500" cy="61010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685800</xdr:colOff>
      <xdr:row>3</xdr:row>
      <xdr:rowOff>101600</xdr:rowOff>
    </xdr:from>
    <xdr:to>
      <xdr:col>11</xdr:col>
      <xdr:colOff>177800</xdr:colOff>
      <xdr:row>6</xdr:row>
      <xdr:rowOff>140208</xdr:rowOff>
    </xdr:to>
    <xdr:sp macro="" textlink="">
      <xdr:nvSpPr>
        <xdr:cNvPr id="13" name="Down Arrow 12">
          <a:extLst>
            <a:ext uri="{FF2B5EF4-FFF2-40B4-BE49-F238E27FC236}">
              <a16:creationId xmlns:a16="http://schemas.microsoft.com/office/drawing/2014/main" id="{7FAA0EA5-0A4D-FB45-AB42-DF4F8DE84B72}"/>
            </a:ext>
          </a:extLst>
        </xdr:cNvPr>
        <xdr:cNvSpPr/>
      </xdr:nvSpPr>
      <xdr:spPr>
        <a:xfrm>
          <a:off x="9321800" y="482600"/>
          <a:ext cx="317500" cy="61010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241300</xdr:colOff>
      <xdr:row>17</xdr:row>
      <xdr:rowOff>76200</xdr:rowOff>
    </xdr:from>
    <xdr:to>
      <xdr:col>6</xdr:col>
      <xdr:colOff>88900</xdr:colOff>
      <xdr:row>21</xdr:row>
      <xdr:rowOff>177800</xdr:rowOff>
    </xdr:to>
    <xdr:sp macro="" textlink="">
      <xdr:nvSpPr>
        <xdr:cNvPr id="14" name="Division 13">
          <a:extLst>
            <a:ext uri="{FF2B5EF4-FFF2-40B4-BE49-F238E27FC236}">
              <a16:creationId xmlns:a16="http://schemas.microsoft.com/office/drawing/2014/main" id="{C7B54AD4-EBC1-4544-073B-9FE43CEC033A}"/>
            </a:ext>
          </a:extLst>
        </xdr:cNvPr>
        <xdr:cNvSpPr/>
      </xdr:nvSpPr>
      <xdr:spPr>
        <a:xfrm>
          <a:off x="4368800" y="3060700"/>
          <a:ext cx="914400" cy="914400"/>
        </a:xfrm>
        <a:prstGeom prst="mathDivid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546100</xdr:colOff>
      <xdr:row>17</xdr:row>
      <xdr:rowOff>76200</xdr:rowOff>
    </xdr:from>
    <xdr:to>
      <xdr:col>9</xdr:col>
      <xdr:colOff>635000</xdr:colOff>
      <xdr:row>21</xdr:row>
      <xdr:rowOff>177800</xdr:rowOff>
    </xdr:to>
    <xdr:sp macro="" textlink="">
      <xdr:nvSpPr>
        <xdr:cNvPr id="15" name="Equal 14">
          <a:extLst>
            <a:ext uri="{FF2B5EF4-FFF2-40B4-BE49-F238E27FC236}">
              <a16:creationId xmlns:a16="http://schemas.microsoft.com/office/drawing/2014/main" id="{27F62659-EFAD-3AAC-928B-5328461AE1E1}"/>
            </a:ext>
          </a:extLst>
        </xdr:cNvPr>
        <xdr:cNvSpPr/>
      </xdr:nvSpPr>
      <xdr:spPr>
        <a:xfrm>
          <a:off x="7391400" y="3060700"/>
          <a:ext cx="914400" cy="914400"/>
        </a:xfrm>
        <a:prstGeom prst="mathEqual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469900</xdr:colOff>
      <xdr:row>16</xdr:row>
      <xdr:rowOff>50800</xdr:rowOff>
    </xdr:from>
    <xdr:to>
      <xdr:col>5</xdr:col>
      <xdr:colOff>279400</xdr:colOff>
      <xdr:row>23</xdr:row>
      <xdr:rowOff>76200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CEC6589B-DE1B-8DF9-EA0C-F2ADE4D35625}"/>
            </a:ext>
          </a:extLst>
        </xdr:cNvPr>
        <xdr:cNvSpPr/>
      </xdr:nvSpPr>
      <xdr:spPr>
        <a:xfrm>
          <a:off x="2120900" y="2844800"/>
          <a:ext cx="2286000" cy="142240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215900</xdr:colOff>
      <xdr:row>16</xdr:row>
      <xdr:rowOff>0</xdr:rowOff>
    </xdr:from>
    <xdr:to>
      <xdr:col>8</xdr:col>
      <xdr:colOff>546100</xdr:colOff>
      <xdr:row>23</xdr:row>
      <xdr:rowOff>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164DCE05-EF11-A446-A46C-3E0F7D49C827}"/>
            </a:ext>
          </a:extLst>
        </xdr:cNvPr>
        <xdr:cNvSpPr/>
      </xdr:nvSpPr>
      <xdr:spPr>
        <a:xfrm>
          <a:off x="5410200" y="2794000"/>
          <a:ext cx="1981200" cy="139700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647700</xdr:colOff>
      <xdr:row>15</xdr:row>
      <xdr:rowOff>152400</xdr:rowOff>
    </xdr:from>
    <xdr:to>
      <xdr:col>12</xdr:col>
      <xdr:colOff>12700</xdr:colOff>
      <xdr:row>22</xdr:row>
      <xdr:rowOff>152400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551AF25C-4F65-2541-A194-16FE671E6C76}"/>
            </a:ext>
          </a:extLst>
        </xdr:cNvPr>
        <xdr:cNvSpPr/>
      </xdr:nvSpPr>
      <xdr:spPr>
        <a:xfrm>
          <a:off x="8318500" y="2755900"/>
          <a:ext cx="1981200" cy="139700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CTLND%20TAGAYTAY/Aris%20Files/Flood%20Control%20Works%20@%20Third%20River,%20Pampanga/Flood%20Control%20Works%20@%20Third%20River,%20Pampanga%20(revised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yek%202008/BPPSPAM%202008/FINAL/analisa%20proyeksi%20keuangan%20Purbalinga%20revis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3b60cfb19fa5387/Desktop/WB/CAPEX%20AND%20OPEX/Proyek%202008/BPPSPAM%202008/FINAL/analisa%20proyeksi%20keuangan%20Purbalinga%20revisi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yek%202008/BPPSPAM%202008/Capacity%20Building/Proyeksi%20keuangan%20Purbalinga-6%20des'20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3b60cfb19fa5387/Desktop/WB/CAPEX%20AND%20OPEX/Proyek%202008/BPPSPAM%202008/Capacity%20Building/Proyeksi%20keuangan%20Purbalinga-6%20des'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ocuments%20and%20Settings/DOT/My%20Documents/Downloads/DOT/tscbp/btst%20ro4%20calabarzon/BTST%20CD/STAT_STARRS_EXCEL_TEMPLATES%20-%20For%20distribution/LGU_Template/DOT-ET-Ver2.0withForeign%20REV2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rimeonline-my.sharepoint.com/others/data%20requests/2009-2012%20estimated%20household%20size%20-%20IESD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lizr/My%20Documents/My%20Docs/PROJECTS/Serbia%2005064/Financial%20Models/Fineval%20(Gansu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3b60cfb19fa5387/Desktop/WB/CAPEX%20AND%20OPEX/Documents%20and%20Settings/lizr/My%20Documents/My%20Docs/PROJECTS/Serbia%2005064/Financial%20Models/Fineval%20(Gansu)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r2dj2/OneDrive/Desktop/WB%20SIRT/21%20Sep%202023%20EFA_Bohol_Siargao_SIRT/Bohol%20BWSP%20FinEcon%2020230919revised.xlsx" TargetMode="External"/><Relationship Id="rId1" Type="http://schemas.openxmlformats.org/officeDocument/2006/relationships/externalLinkPath" Target="file:///C:/Users/r2dj2/OneDrive/Desktop/WB%20SIRT/21%20Sep%202023%20EFA_Bohol_Siargao_SIRT/Bohol%20BWSP%20FinEcon%2020230919revised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3b60cfb19fa5387/Desktop/WB/CAPEX%20AND%20OPEX/Users/r2dj2/OneDrive/Desktop/WB%20SIRT/21%20Sep%202023%20EFA_Bohol_Siargao_SIRT/Bohol%20BWSP%20FinEcon%2020230919revise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jsn/Documents/FM%20Due%20Diligence/RVPN%20Loan%20Model%2023%20April%202012%20-%20Source%20Model%20file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3b60cfb19fa5387/Desktop/WB/CAPEX%20AND%20OPEX/Users/jsn/Documents/FM%20Due%20Diligence/RVPN%20Loan%20Model%2023%20April%202012%20-%20Source%20Model%20file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Gio/Personal/Work/Models/Quick%20LBO%20Mode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ngeles%20Business%20Center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Edwin/Documents/Ulaanbaatar%20Urban%20Services%20Project/outputs/Nov2016/Integrated%20Model%20UB%20tranche2%20Nov2016.xlsm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3b60cfb19fa5387/Desktop/WB/CAPEX%20AND%20OPEX/Users/Edwin/Documents/Ulaanbaatar%20Urban%20Services%20Project/outputs/Nov2016/Integrated%20Model%20UB%20tranche2%20Nov2016.xlsm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TLND%20TAGAYTAY/Aris%20Files/Flood%20Control%20Works%20@%20Third%20River,%20Pampanga/Flood%20Control%20Works%20@%20Third%20River,%20Pampanga%20(revised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3b60cfb19fa5387/Desktop/WB/CAPEX%20AND%20OPEX/CTLND%20TAGAYTAY/Aris%20Files/Flood%20Control%20Works%20@%20Third%20River,%20Pampanga/Flood%20Control%20Works%20@%20Third%20River,%20Pampanga%20(revised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edwinalzate/Documents/WB%20Phil%20Multisectoral%20Nutrition%20Project/Aug2021%20files/Rev%20PMNO%20Proposal%20for%20NEDA,%20ao%20April%2014,%2010.48am/Rev%20PMNP%20Proposal%20Annex%20E%20-%20ICC%20Forms,%20ao%2027Aug21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microsoft.com/office/2019/04/relationships/externalLinkLongPath" Target="https://d.docs.live.net/d3b60cfb19fa5387/Desktop/WB/CAPEX%20AND%20OPEX/Users/edwinalzate/Documents/WB%20Phil%20Multisectoral%20Nutrition%20Project/Aug2021%20files/Rev%20PMNO%20Proposal%20for%20NEDA,%20ao%20April%2014,%2010.48am/Rev%20PMNP%20Proposal%20Annex%20E%20-%20ICC%20Forms,%20ao%2027Aug21.xlsx?31A09E13" TargetMode="External"/><Relationship Id="rId1" Type="http://schemas.openxmlformats.org/officeDocument/2006/relationships/externalLinkPath" Target="file:///31A09E13/Rev%20PMNP%20Proposal%20Annex%20E%20-%20ICC%20Forms,%20ao%2027Aug21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PP%20Road%20Sector%20Study/Business%20Case/Calamba-Los%20Banos%20Road%20Project/financial%20model/due%20diligence%20check%20(29Oct08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3b60cfb19fa5387/Desktop/WB/CAPEX%20AND%20OPEX/PPP%20Road%20Sector%20Study/Business%20Case/Calamba-Los%20Banos%20Road%20Project/financial%20model/due%20diligence%20check%20(29Oct08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DAM/Purbalingga/Update%20form%20RPIJMREVISI%20070,riyono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3b60cfb19fa5387/Desktop/WB/CAPEX%20AND%20OPEX/PDAM/Purbalingga/Update%20form%20RPIJMREVISI%20070,riyono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Edwin/Documents/THAI%20transport%20projects/South%20Purple%20Line%20Project/outputs/30-03-59_Fin%20Model%20&#3626;&#3634;&#3618;&#3626;&#3637;&#3617;&#3656;&#3623;&#3591;%20%20%20%20&#3591;&#3634;&#3609;&#3648;&#3614;&#3636;&#3656;&#3617;&#3648;&#3605;&#3636;&#3617;_Case%202_%2012.2+2.2%20%20Bath_R7%20v2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microsoft.com/office/2019/04/relationships/externalLinkLongPath" Target="https://d.docs.live.net/d3b60cfb19fa5387/Desktop/WB/CAPEX%20AND%20OPEX/Users/Edwin/Documents/THAI%20transport%20projects/South%20Purple%20Line%20Project/outputs/30-03-59_Fin%20Model%20&#3626;&#3634;&#3618;&#3626;&#3637;&#3617;&#3656;&#3623;&#3591;%20%20%20%20&#3591;&#3634;&#3609;&#3648;&#3614;&#3636;&#3656;&#3617;&#3648;&#3605;&#3636;&#3617;_Case%202_%2012.2+2.2%20%20Bath_R7%20v2.xlsx?24934652" TargetMode="External"/><Relationship Id="rId1" Type="http://schemas.openxmlformats.org/officeDocument/2006/relationships/externalLinkPath" Target="file:///24934652/30-03-59_Fin%20Model%20&#3626;&#3634;&#3618;&#3626;&#3637;&#3617;&#3656;&#3623;&#3591;%20%20%20%20&#3591;&#3634;&#3609;&#3648;&#3614;&#3636;&#3656;&#3617;&#3648;&#3605;&#3636;&#3617;_Case%202_%2012.2+2.2%20%20Bath_R7%20v2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edwinalzate/Documents/Bengkulu%20Water%20Supply%20System/sample%20runs/Water%20Supply%20Project%20-%20Financial%20Analysis%20Calculation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3b60cfb19fa5387/Desktop/WB/CAPEX%20AND%20OPEX/Users/edwinalzate/Documents/Bengkulu%20Water%20Supply%20System/sample%20runs/Water%20Supply%20Project%20-%20Financial%20Analysis%20Calculation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edwinalzate/Documents/Old%20files%20(mbair)/Cabuyao%20Laguna%20water%20supply%20project/financial%20&amp;%20econ%20SIERRA%20water%20supply%20project%2015March21%20(scenario%202)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microsoft.com/office/2019/04/relationships/externalLinkLongPath" Target="https://d.docs.live.net/d3b60cfb19fa5387/Desktop/WB/CAPEX%20AND%20OPEX/Users/edwinalzate/Documents/Old%20files%20(mbair)/Cabuyao%20Laguna%20water%20supply%20project/financial%20&amp;%20econ%20SIERRA%20water%20supply%20project%2015March21%20(scenario%202).xlsx?E6CEB771" TargetMode="External"/><Relationship Id="rId1" Type="http://schemas.openxmlformats.org/officeDocument/2006/relationships/externalLinkPath" Target="file:///E6CEB771/financial%20&amp;%20econ%20SIERRA%20water%20supply%20project%2015March21%20(scenario%202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alTool1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Ejktlibk000221/c$/Data/ML_IBD/Training%20Materials/Model/LBO%20Model%20Ful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edwinalzate/Documents/WB%20Tourism%20Project/Outputs/fin%20&amp;%20econ%20analysis%20files/Ecofin%20Model%20-%20Chocolate%20Hills_revised%2011Sept21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3b60cfb19fa5387/Desktop/WB/CAPEX%20AND%20OPEX/Users/edwinalzate/Documents/WB%20Tourism%20Project/Outputs/fin%20&amp;%20econ%20analysis%20files/Ecofin%20Model%20-%20Chocolate%20Hills_revised%2011Sept21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edwinalzate/Documents/WB%20Phil%20Multisectoral%20Nutrition%20Project/Sept2021%20files/Rev%20PMNP%20Proposal%20Annex%20E%20-%20ICC%20Forms%20ao%2016Sept2021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3b60cfb19fa5387/Desktop/WB/CAPEX%20AND%20OPEX/Users/edwinalzate/Documents/WB%20Phil%20Multisectoral%20Nutrition%20Project/Sept2021%20files/Rev%20PMNP%20Proposal%20Annex%20E%20-%20ICC%20Forms%20ao%2016Sept2021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Edwin/Downloads/Integrated%20Model%20UB%20tranche2%2016Sept2016%20AH.xlsm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3b60cfb19fa5387/Desktop/WB/CAPEX%20AND%20OPEX/Users/Edwin/Downloads/Integrated%20Model%20UB%20tranche2%2016Sept2016%20AH.xlsm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yek%202009/KABUPATEN%20PACITAN/DRAFT%20PELATIHAN%20FINPRO%20PACITANPinjam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3b60cfb19fa5387/Desktop/WB/CAPEX%20AND%20OPEX/Proyek%202009/KABUPATEN%20PACITAN/DRAFT%20PELATIHAN%20FINPRO%20PACITANPinjam.xls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3b60cfb19fa5387/Desktop/WB/CAPEX%20AND%20OPEX/Bohol%20bulk%20for%20submission%20to%20DPWH%20v2%2060mld%20plant%20capacity%20WTP.xlsx" TargetMode="External"/><Relationship Id="rId1" Type="http://schemas.openxmlformats.org/officeDocument/2006/relationships/externalLinkPath" Target="file:///C:/Users/chris%20lacson/OneDrive/Desktop/WB/CAPEX%20AND%20OPEX/Bohol%20bulk%20for%20submission%20to%20DPWH%20v2%2060mld%20plant%20capacity%20WTP.xlsx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celynvillamayor/Library/Containers/com.apple.mail/Data/Library/Mail%20Downloads/EF0615FB-94C7-46B4-9B0A-6D67094926AC/4%20Municipalities_11_03_2025.xlsx" TargetMode="External"/><Relationship Id="rId1" Type="http://schemas.openxmlformats.org/officeDocument/2006/relationships/externalLinkPath" Target="/Users/jocelynvillamayor/Library/Containers/com.apple.mail/Data/Library/Mail%20Downloads/EF0615FB-94C7-46B4-9B0A-6D67094926AC/4%20Municipalities_11_03_2025.xlsx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3b60cfb19fa5387/Desktop/WB/CAPEX%20AND%20OPEX/New%20folder%20(2)/Bohol%20Water%20Demand_17Mar2025_REV1.xlsx" TargetMode="External"/><Relationship Id="rId1" Type="http://schemas.openxmlformats.org/officeDocument/2006/relationships/externalLinkPath" Target="file:///C:/Users/chris%20lacson/OneDrive/Desktop/WB/CAPEX%20AND%20OPEX/New%20folder%20(2)/Bohol%20Water%20Demand_17Mar2025_REV1.xlsx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celynvillamayor/Documents/2025%201029%20BusPlan&amp;Tariff%20Model%20DILGrev1.xlsx" TargetMode="External"/><Relationship Id="rId1" Type="http://schemas.openxmlformats.org/officeDocument/2006/relationships/externalLinkPath" Target="2025%201029%20BusPlan&amp;Tariff%20Model%20DILGre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rchart"/>
      <sheetName val="cpm"/>
      <sheetName val="BOQ"/>
      <sheetName val="DPA"/>
      <sheetName val="library"/>
      <sheetName val="cashflow"/>
      <sheetName val="QTRCF"/>
      <sheetName val="manpower"/>
      <sheetName val="eqpt"/>
      <sheetName val="computation"/>
      <sheetName val="daywork rate"/>
      <sheetName val="daywork_rate"/>
    </sheetNames>
    <sheetDataSet>
      <sheetData sheetId="0">
        <row r="3">
          <cell r="D3">
            <v>86.5</v>
          </cell>
        </row>
      </sheetData>
      <sheetData sheetId="1">
        <row r="3">
          <cell r="D3">
            <v>86.5</v>
          </cell>
        </row>
      </sheetData>
      <sheetData sheetId="2">
        <row r="3">
          <cell r="D3">
            <v>86.5</v>
          </cell>
        </row>
      </sheetData>
      <sheetData sheetId="3">
        <row r="3">
          <cell r="D3">
            <v>86.5</v>
          </cell>
        </row>
      </sheetData>
      <sheetData sheetId="4">
        <row r="3">
          <cell r="D3">
            <v>86.5</v>
          </cell>
        </row>
        <row r="4">
          <cell r="D4">
            <v>51.05</v>
          </cell>
        </row>
        <row r="5">
          <cell r="D5">
            <v>51.05</v>
          </cell>
        </row>
        <row r="10">
          <cell r="D10">
            <v>53.49</v>
          </cell>
        </row>
        <row r="15">
          <cell r="D15">
            <v>47.49</v>
          </cell>
        </row>
        <row r="19">
          <cell r="D19">
            <v>51.05</v>
          </cell>
        </row>
        <row r="52">
          <cell r="D52">
            <v>356</v>
          </cell>
        </row>
        <row r="62">
          <cell r="D62">
            <v>93</v>
          </cell>
        </row>
        <row r="103">
          <cell r="D103">
            <v>300</v>
          </cell>
        </row>
        <row r="218">
          <cell r="D218">
            <v>663.33</v>
          </cell>
        </row>
        <row r="281">
          <cell r="D281">
            <v>35</v>
          </cell>
        </row>
        <row r="283">
          <cell r="D283">
            <v>950</v>
          </cell>
        </row>
        <row r="323">
          <cell r="D323">
            <v>75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Pembukaan_1.1"/>
      <sheetName val="START"/>
      <sheetName val="analisa Biaya "/>
      <sheetName val="Air terjual"/>
      <sheetName val="Asumsi dasar"/>
      <sheetName val="RPKP_4tahn"/>
      <sheetName val="Pinj_RDA_173"/>
      <sheetName val="Bungs Pinjaman"/>
      <sheetName val="CProy laba rugi"/>
      <sheetName val="DPerputaranKN"/>
      <sheetName val="Epro perpu kas"/>
      <sheetName val="F lap neraca"/>
      <sheetName val="Gpro  DCOR"/>
      <sheetName val="H Tarif Air"/>
      <sheetName val="Pegawai"/>
      <sheetName val="Grafik2"/>
      <sheetName val="Grafik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Pembukaan_1.1"/>
      <sheetName val="START"/>
      <sheetName val="analisa Biaya "/>
      <sheetName val="Air terjual"/>
      <sheetName val="Asumsi dasar"/>
      <sheetName val="RPKP_4tahn"/>
      <sheetName val="Pinj_RDA_173"/>
      <sheetName val="Bungs Pinjaman"/>
      <sheetName val="CProy laba rugi"/>
      <sheetName val="DPerputaranKN"/>
      <sheetName val="Epro perpu kas"/>
      <sheetName val="F lap neraca"/>
      <sheetName val="Gpro  DCOR"/>
      <sheetName val="H Tarif Air"/>
      <sheetName val="Pegawai"/>
      <sheetName val="Grafik2"/>
      <sheetName val="Grafik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DPROG"/>
      <sheetName val="Renc_Kegt"/>
      <sheetName val="START"/>
      <sheetName val="pbl-kap"/>
      <sheetName val="evSL"/>
      <sheetName val="pbl-pelayanan"/>
      <sheetName val="penduduk"/>
      <sheetName val="proyeksi"/>
      <sheetName val="analisa Biaya "/>
      <sheetName val="Air terjual"/>
      <sheetName val="RPKP_4tahn"/>
      <sheetName val="Bungs Pinjaman"/>
      <sheetName val="Pinj_RDA_173"/>
      <sheetName val="CProy laba rugi"/>
      <sheetName val="DPerputaranKN"/>
      <sheetName val="Epro perpu kas"/>
      <sheetName val="F lap neraca"/>
      <sheetName val="Gpro  DCOR"/>
      <sheetName val="H Tarif Air"/>
      <sheetName val="Pegawai"/>
      <sheetName val="Grafik2"/>
      <sheetName val="Grafik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DPROG"/>
      <sheetName val="Renc_Kegt"/>
      <sheetName val="START"/>
      <sheetName val="pbl-kap"/>
      <sheetName val="evSL"/>
      <sheetName val="pbl-pelayanan"/>
      <sheetName val="penduduk"/>
      <sheetName val="proyeksi"/>
      <sheetName val="analisa Biaya "/>
      <sheetName val="Air terjual"/>
      <sheetName val="RPKP_4tahn"/>
      <sheetName val="Bungs Pinjaman"/>
      <sheetName val="Pinj_RDA_173"/>
      <sheetName val="CProy laba rugi"/>
      <sheetName val="DPerputaranKN"/>
      <sheetName val="Epro perpu kas"/>
      <sheetName val="F lap neraca"/>
      <sheetName val="Gpro  DCOR"/>
      <sheetName val="H Tarif Air"/>
      <sheetName val="Pegawai"/>
      <sheetName val="Grafik2"/>
      <sheetName val="Grafik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E1"/>
      <sheetName val="SAE2"/>
      <sheetName val="DAE2"/>
      <sheetName val="DAE3"/>
      <sheetName val="DAE4"/>
      <sheetName val="DAE_Estimate"/>
      <sheetName val="AEType"/>
      <sheetName val="Provinces"/>
    </sheetNames>
    <sheetDataSet>
      <sheetData sheetId="0"/>
      <sheetData sheetId="1"/>
      <sheetData sheetId="2"/>
      <sheetData sheetId="3"/>
      <sheetData sheetId="4">
        <row r="3">
          <cell r="F3" t="str">
            <v>June</v>
          </cell>
          <cell r="H3">
            <v>2010</v>
          </cell>
        </row>
        <row r="4">
          <cell r="F4">
            <v>6</v>
          </cell>
        </row>
        <row r="6">
          <cell r="D6" t="str">
            <v>Metropolitan Manila</v>
          </cell>
        </row>
      </sheetData>
      <sheetData sheetId="5"/>
      <sheetData sheetId="6">
        <row r="2">
          <cell r="A2" t="str">
            <v>Hotel</v>
          </cell>
        </row>
        <row r="3">
          <cell r="A3" t="str">
            <v>Condotel</v>
          </cell>
        </row>
        <row r="4">
          <cell r="A4" t="str">
            <v>Serviced Residence</v>
          </cell>
        </row>
        <row r="5">
          <cell r="A5" t="str">
            <v>Resort</v>
          </cell>
        </row>
        <row r="6">
          <cell r="A6" t="str">
            <v>Apartelle</v>
          </cell>
        </row>
        <row r="7">
          <cell r="A7" t="str">
            <v>Motel</v>
          </cell>
        </row>
        <row r="8">
          <cell r="A8" t="str">
            <v>Pension House</v>
          </cell>
        </row>
        <row r="9">
          <cell r="A9" t="str">
            <v>Home Stay Site</v>
          </cell>
        </row>
        <row r="10">
          <cell r="A10" t="str">
            <v>Tourist Inn</v>
          </cell>
        </row>
        <row r="11">
          <cell r="A11" t="str">
            <v>Others</v>
          </cell>
        </row>
      </sheetData>
      <sheetData sheetId="7">
        <row r="1">
          <cell r="D1" t="str">
            <v>January</v>
          </cell>
          <cell r="E1">
            <v>2009</v>
          </cell>
        </row>
        <row r="2">
          <cell r="B2" t="str">
            <v>Abra</v>
          </cell>
          <cell r="D2" t="str">
            <v>February</v>
          </cell>
          <cell r="E2">
            <v>2010</v>
          </cell>
        </row>
        <row r="3">
          <cell r="B3" t="str">
            <v>Agusan del Norte</v>
          </cell>
          <cell r="D3" t="str">
            <v>March</v>
          </cell>
          <cell r="E3">
            <v>2011</v>
          </cell>
        </row>
        <row r="4">
          <cell r="B4" t="str">
            <v>Agusan del Sur</v>
          </cell>
          <cell r="D4" t="str">
            <v>April</v>
          </cell>
          <cell r="E4">
            <v>2012</v>
          </cell>
        </row>
        <row r="5">
          <cell r="B5" t="str">
            <v>Aklan</v>
          </cell>
          <cell r="D5" t="str">
            <v>May</v>
          </cell>
          <cell r="E5">
            <v>2013</v>
          </cell>
        </row>
        <row r="6">
          <cell r="B6" t="str">
            <v>Albay</v>
          </cell>
          <cell r="D6" t="str">
            <v>June</v>
          </cell>
          <cell r="E6">
            <v>2014</v>
          </cell>
        </row>
        <row r="7">
          <cell r="B7" t="str">
            <v>Antique</v>
          </cell>
          <cell r="D7" t="str">
            <v>July</v>
          </cell>
          <cell r="E7">
            <v>2015</v>
          </cell>
        </row>
        <row r="8">
          <cell r="B8" t="str">
            <v>Apayao</v>
          </cell>
          <cell r="D8" t="str">
            <v>August</v>
          </cell>
          <cell r="E8">
            <v>2016</v>
          </cell>
        </row>
        <row r="9">
          <cell r="B9" t="str">
            <v>Aurora</v>
          </cell>
          <cell r="D9" t="str">
            <v>September</v>
          </cell>
          <cell r="E9">
            <v>2017</v>
          </cell>
        </row>
        <row r="10">
          <cell r="B10" t="str">
            <v>Basilan</v>
          </cell>
          <cell r="D10" t="str">
            <v>October</v>
          </cell>
          <cell r="E10">
            <v>2018</v>
          </cell>
        </row>
        <row r="11">
          <cell r="B11" t="str">
            <v>Bataan</v>
          </cell>
          <cell r="D11" t="str">
            <v>November</v>
          </cell>
          <cell r="E11">
            <v>2019</v>
          </cell>
        </row>
        <row r="12">
          <cell r="B12" t="str">
            <v>Batanes</v>
          </cell>
          <cell r="D12" t="str">
            <v>December</v>
          </cell>
          <cell r="E12">
            <v>2020</v>
          </cell>
        </row>
        <row r="13">
          <cell r="B13" t="str">
            <v>Batangas</v>
          </cell>
          <cell r="E13">
            <v>2021</v>
          </cell>
        </row>
        <row r="14">
          <cell r="B14" t="str">
            <v>Benguet</v>
          </cell>
          <cell r="E14">
            <v>2022</v>
          </cell>
        </row>
        <row r="15">
          <cell r="B15" t="str">
            <v>Biliran</v>
          </cell>
          <cell r="E15">
            <v>2023</v>
          </cell>
        </row>
        <row r="16">
          <cell r="B16" t="str">
            <v>Bohol</v>
          </cell>
          <cell r="E16">
            <v>2024</v>
          </cell>
        </row>
        <row r="17">
          <cell r="B17" t="str">
            <v>Bukidnon</v>
          </cell>
          <cell r="E17">
            <v>2025</v>
          </cell>
        </row>
        <row r="18">
          <cell r="B18" t="str">
            <v>Bulacan</v>
          </cell>
          <cell r="E18">
            <v>2026</v>
          </cell>
        </row>
        <row r="19">
          <cell r="B19" t="str">
            <v>Cagayan</v>
          </cell>
          <cell r="E19">
            <v>2027</v>
          </cell>
        </row>
        <row r="20">
          <cell r="B20" t="str">
            <v>Camarines Norte</v>
          </cell>
          <cell r="E20">
            <v>2028</v>
          </cell>
        </row>
        <row r="21">
          <cell r="B21" t="str">
            <v>Camarines Sur</v>
          </cell>
        </row>
        <row r="22">
          <cell r="B22" t="str">
            <v>Camiguin</v>
          </cell>
        </row>
        <row r="23">
          <cell r="B23" t="str">
            <v>Capiz</v>
          </cell>
        </row>
        <row r="24">
          <cell r="B24" t="str">
            <v>Catanduanes</v>
          </cell>
        </row>
        <row r="25">
          <cell r="B25" t="str">
            <v>Cavite</v>
          </cell>
        </row>
        <row r="26">
          <cell r="B26" t="str">
            <v>Cebu</v>
          </cell>
        </row>
        <row r="27">
          <cell r="B27" t="str">
            <v>Compostela Valley</v>
          </cell>
        </row>
        <row r="28">
          <cell r="B28" t="str">
            <v>Davao Del Norte</v>
          </cell>
        </row>
        <row r="29">
          <cell r="B29" t="str">
            <v>Davao Del Sur</v>
          </cell>
        </row>
        <row r="30">
          <cell r="B30" t="str">
            <v>Davao Oriental</v>
          </cell>
        </row>
        <row r="31">
          <cell r="B31" t="str">
            <v>Eastern Samar</v>
          </cell>
        </row>
        <row r="32">
          <cell r="B32" t="str">
            <v>Guimaras</v>
          </cell>
        </row>
        <row r="33">
          <cell r="B33" t="str">
            <v>Ifugao</v>
          </cell>
        </row>
        <row r="34">
          <cell r="B34" t="str">
            <v>Ilocos Norte</v>
          </cell>
        </row>
        <row r="35">
          <cell r="B35" t="str">
            <v>Ilocos Sur</v>
          </cell>
        </row>
        <row r="36">
          <cell r="B36" t="str">
            <v>Iloilo</v>
          </cell>
        </row>
        <row r="37">
          <cell r="B37" t="str">
            <v>Isabela</v>
          </cell>
        </row>
        <row r="38">
          <cell r="B38" t="str">
            <v>Kalinga</v>
          </cell>
        </row>
        <row r="39">
          <cell r="B39" t="str">
            <v>La Union</v>
          </cell>
        </row>
        <row r="40">
          <cell r="B40" t="str">
            <v>Laguna</v>
          </cell>
        </row>
        <row r="41">
          <cell r="B41" t="str">
            <v>Lanao Del Norte</v>
          </cell>
        </row>
        <row r="42">
          <cell r="B42" t="str">
            <v>Lanao Del Sur</v>
          </cell>
        </row>
        <row r="43">
          <cell r="B43" t="str">
            <v>Leyte</v>
          </cell>
        </row>
        <row r="44">
          <cell r="B44" t="str">
            <v>Maguindanao</v>
          </cell>
        </row>
        <row r="45">
          <cell r="B45" t="str">
            <v>Marinduque</v>
          </cell>
        </row>
        <row r="46">
          <cell r="B46" t="str">
            <v>Masbate</v>
          </cell>
        </row>
        <row r="47">
          <cell r="B47" t="str">
            <v>Metropolitan Manila</v>
          </cell>
        </row>
        <row r="48">
          <cell r="B48" t="str">
            <v>Misamis Occidental</v>
          </cell>
        </row>
        <row r="49">
          <cell r="B49" t="str">
            <v>Misamis Oriental</v>
          </cell>
        </row>
        <row r="50">
          <cell r="B50" t="str">
            <v>Mountain Province</v>
          </cell>
        </row>
        <row r="51">
          <cell r="B51" t="str">
            <v>Negros Occidental</v>
          </cell>
        </row>
        <row r="52">
          <cell r="B52" t="str">
            <v>Negros Oriental</v>
          </cell>
        </row>
        <row r="53">
          <cell r="B53" t="str">
            <v>North Cotabato</v>
          </cell>
        </row>
        <row r="54">
          <cell r="B54" t="str">
            <v>Northern Samar</v>
          </cell>
        </row>
        <row r="55">
          <cell r="B55" t="str">
            <v>Nueva Ecija</v>
          </cell>
        </row>
        <row r="56">
          <cell r="B56" t="str">
            <v>Nueva Vizcaya</v>
          </cell>
        </row>
        <row r="57">
          <cell r="B57" t="str">
            <v>Occidental Mindoro</v>
          </cell>
        </row>
        <row r="58">
          <cell r="B58" t="str">
            <v>Oriental Mindoro</v>
          </cell>
        </row>
        <row r="59">
          <cell r="B59" t="str">
            <v>Palawan</v>
          </cell>
        </row>
        <row r="60">
          <cell r="B60" t="str">
            <v>Pampanga</v>
          </cell>
        </row>
        <row r="61">
          <cell r="B61" t="str">
            <v>Pangasinan</v>
          </cell>
        </row>
        <row r="62">
          <cell r="B62" t="str">
            <v>Quezon</v>
          </cell>
        </row>
        <row r="63">
          <cell r="B63" t="str">
            <v>Quirino</v>
          </cell>
        </row>
        <row r="64">
          <cell r="B64" t="str">
            <v>Rizal</v>
          </cell>
        </row>
        <row r="65">
          <cell r="B65" t="str">
            <v>Romblon</v>
          </cell>
        </row>
        <row r="66">
          <cell r="B66" t="str">
            <v>Samar</v>
          </cell>
        </row>
        <row r="67">
          <cell r="B67" t="str">
            <v>Sarangani</v>
          </cell>
        </row>
        <row r="68">
          <cell r="B68" t="str">
            <v>Siquijor</v>
          </cell>
        </row>
        <row r="69">
          <cell r="B69" t="str">
            <v>Sorsogon</v>
          </cell>
        </row>
        <row r="70">
          <cell r="B70" t="str">
            <v>South Cotabato</v>
          </cell>
        </row>
        <row r="71">
          <cell r="B71" t="str">
            <v>Southern Leyte</v>
          </cell>
        </row>
        <row r="72">
          <cell r="B72" t="str">
            <v>Sultan Kudarat</v>
          </cell>
        </row>
        <row r="73">
          <cell r="B73" t="str">
            <v>Sulu</v>
          </cell>
        </row>
        <row r="74">
          <cell r="B74" t="str">
            <v>Surigao Del Norte</v>
          </cell>
        </row>
        <row r="75">
          <cell r="B75" t="str">
            <v>Surigao Del Sur</v>
          </cell>
        </row>
        <row r="76">
          <cell r="B76" t="str">
            <v>Tarlac</v>
          </cell>
        </row>
        <row r="77">
          <cell r="B77" t="str">
            <v>Tawi-Tawi</v>
          </cell>
        </row>
        <row r="78">
          <cell r="B78" t="str">
            <v>Zambales</v>
          </cell>
        </row>
        <row r="79">
          <cell r="B79" t="str">
            <v>Zamboanga Del Norte</v>
          </cell>
        </row>
        <row r="80">
          <cell r="B80" t="str">
            <v>Zamboanga Del Sur</v>
          </cell>
        </row>
        <row r="81">
          <cell r="B81" t="str">
            <v>Zamboanga Sibugay</v>
          </cell>
        </row>
        <row r="82">
          <cell r="B82" t="str">
            <v>NCR</v>
          </cell>
        </row>
        <row r="83">
          <cell r="B83" t="str">
            <v>CAR</v>
          </cell>
        </row>
        <row r="84">
          <cell r="B84" t="str">
            <v>Region 01</v>
          </cell>
        </row>
        <row r="85">
          <cell r="B85" t="str">
            <v>Region 02</v>
          </cell>
        </row>
        <row r="86">
          <cell r="B86" t="str">
            <v>Region 03</v>
          </cell>
        </row>
        <row r="87">
          <cell r="B87" t="str">
            <v>Region 04</v>
          </cell>
        </row>
        <row r="88">
          <cell r="B88" t="str">
            <v>Region 05</v>
          </cell>
        </row>
        <row r="89">
          <cell r="B89" t="str">
            <v>Region 06</v>
          </cell>
        </row>
        <row r="90">
          <cell r="B90" t="str">
            <v>Region 07</v>
          </cell>
        </row>
        <row r="91">
          <cell r="B91" t="str">
            <v>Region 08</v>
          </cell>
        </row>
        <row r="92">
          <cell r="B92" t="str">
            <v>Region 09</v>
          </cell>
        </row>
        <row r="93">
          <cell r="B93" t="str">
            <v>Region 10</v>
          </cell>
        </row>
        <row r="94">
          <cell r="B94" t="str">
            <v>Region 11</v>
          </cell>
        </row>
        <row r="95">
          <cell r="B95" t="str">
            <v>Region 12</v>
          </cell>
        </row>
        <row r="96">
          <cell r="B96" t="str">
            <v>Region 13</v>
          </cell>
        </row>
        <row r="97">
          <cell r="B97" t="str">
            <v>ARMM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S"/>
      <sheetName val="summary"/>
      <sheetName val="Sheet1"/>
    </sheetNames>
    <sheetDataSet>
      <sheetData sheetId="0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Assumptions"/>
      <sheetName val="Deepwell Sources"/>
      <sheetName val="Demand Projections"/>
      <sheetName val="CAPEX Scenarios"/>
      <sheetName val="OPEX Data"/>
      <sheetName val="Demand Projections1"/>
      <sheetName val="CAPEX Scenarios Updated"/>
      <sheetName val="CAPEX and OPEX Disbursement"/>
      <sheetName val="Capex"/>
      <sheetName val="Revenues"/>
      <sheetName val="Rev&amp;Cost"/>
      <sheetName val="Financing"/>
      <sheetName val="CS, IS &amp; BS (format2)"/>
      <sheetName val="WACC"/>
      <sheetName val="FIRR"/>
      <sheetName val="ROE"/>
      <sheetName val="EconBenefits"/>
      <sheetName val="EIRR"/>
      <sheetName val="CS, IS &amp; BS"/>
      <sheetName val="Economic Cost"/>
    </sheetNames>
    <sheetDataSet>
      <sheetData sheetId="0">
        <row r="2">
          <cell r="E2" t="str">
            <v>Bohol Bulk Water Supply Project Phase I</v>
          </cell>
        </row>
      </sheetData>
      <sheetData sheetId="1">
        <row r="6">
          <cell r="C6">
            <v>2.8000000000000001E-2</v>
          </cell>
        </row>
        <row r="7">
          <cell r="C7">
            <v>1.4999999999999999E-2</v>
          </cell>
        </row>
        <row r="9">
          <cell r="C9">
            <v>0.9975509885732774</v>
          </cell>
        </row>
        <row r="10">
          <cell r="C10">
            <v>2.4490114267224396E-3</v>
          </cell>
        </row>
        <row r="13">
          <cell r="C13">
            <v>6.6360000000000002E-2</v>
          </cell>
          <cell r="F13">
            <v>7.0000000000000007E-2</v>
          </cell>
        </row>
        <row r="14">
          <cell r="C14">
            <v>4.9000000000000002E-2</v>
          </cell>
        </row>
        <row r="15">
          <cell r="C15">
            <v>8</v>
          </cell>
        </row>
        <row r="16">
          <cell r="C16">
            <v>27</v>
          </cell>
        </row>
        <row r="17">
          <cell r="C17">
            <v>0.01</v>
          </cell>
        </row>
        <row r="18">
          <cell r="C18">
            <v>19</v>
          </cell>
        </row>
        <row r="22">
          <cell r="C22">
            <v>0.05</v>
          </cell>
        </row>
        <row r="23">
          <cell r="C23">
            <v>0.12</v>
          </cell>
        </row>
        <row r="24">
          <cell r="C24">
            <v>0.2</v>
          </cell>
        </row>
        <row r="25">
          <cell r="C25">
            <v>2030</v>
          </cell>
        </row>
        <row r="28">
          <cell r="C28">
            <v>2026</v>
          </cell>
        </row>
        <row r="29">
          <cell r="C29">
            <v>1</v>
          </cell>
        </row>
        <row r="30">
          <cell r="C30">
            <v>72</v>
          </cell>
        </row>
        <row r="32">
          <cell r="C32">
            <v>0</v>
          </cell>
        </row>
        <row r="34">
          <cell r="C34">
            <v>42.391843851429257</v>
          </cell>
        </row>
        <row r="35">
          <cell r="C35">
            <v>0.25</v>
          </cell>
        </row>
        <row r="37">
          <cell r="C37">
            <v>0</v>
          </cell>
        </row>
        <row r="41">
          <cell r="C41">
            <v>0.1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9">
          <cell r="I9">
            <v>716425.7699999999</v>
          </cell>
        </row>
      </sheetData>
      <sheetData sheetId="10" refreshError="1"/>
      <sheetData sheetId="11">
        <row r="84">
          <cell r="I84">
            <v>5568358142.1185684</v>
          </cell>
        </row>
        <row r="88">
          <cell r="I88">
            <v>86887975.017259672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Assumptions"/>
      <sheetName val="Deepwell Sources"/>
      <sheetName val="Demand Projections"/>
      <sheetName val="CAPEX Scenarios"/>
      <sheetName val="OPEX Data"/>
      <sheetName val="Demand Projections1"/>
      <sheetName val="CAPEX Scenarios Updated"/>
      <sheetName val="CAPEX and OPEX Disbursement"/>
      <sheetName val="Capex"/>
      <sheetName val="Revenues"/>
      <sheetName val="Rev&amp;Cost"/>
      <sheetName val="Financing"/>
      <sheetName val="CS, IS &amp; BS (format2)"/>
      <sheetName val="WACC"/>
      <sheetName val="FIRR"/>
      <sheetName val="ROE"/>
      <sheetName val="EconBenefits"/>
      <sheetName val="EIRR"/>
      <sheetName val="CS, IS &amp; BS"/>
      <sheetName val="Economic Cost"/>
    </sheetNames>
    <sheetDataSet>
      <sheetData sheetId="0">
        <row r="2">
          <cell r="E2" t="str">
            <v>Bohol Bulk Water Supply Project Phase I</v>
          </cell>
        </row>
      </sheetData>
      <sheetData sheetId="1">
        <row r="6">
          <cell r="C6">
            <v>2.8000000000000001E-2</v>
          </cell>
        </row>
        <row r="7">
          <cell r="C7">
            <v>1.4999999999999999E-2</v>
          </cell>
        </row>
        <row r="9">
          <cell r="C9">
            <v>0.9975509885732774</v>
          </cell>
        </row>
        <row r="10">
          <cell r="C10">
            <v>2.4490114267224396E-3</v>
          </cell>
        </row>
        <row r="13">
          <cell r="C13">
            <v>6.6360000000000002E-2</v>
          </cell>
          <cell r="F13">
            <v>7.0000000000000007E-2</v>
          </cell>
        </row>
        <row r="14">
          <cell r="C14">
            <v>4.9000000000000002E-2</v>
          </cell>
        </row>
        <row r="15">
          <cell r="C15">
            <v>8</v>
          </cell>
        </row>
        <row r="16">
          <cell r="C16">
            <v>27</v>
          </cell>
        </row>
        <row r="17">
          <cell r="C17">
            <v>0.01</v>
          </cell>
        </row>
        <row r="18">
          <cell r="C18">
            <v>19</v>
          </cell>
        </row>
        <row r="22">
          <cell r="C22">
            <v>0.05</v>
          </cell>
        </row>
        <row r="23">
          <cell r="C23">
            <v>0.12</v>
          </cell>
        </row>
        <row r="24">
          <cell r="C24">
            <v>0.2</v>
          </cell>
        </row>
        <row r="25">
          <cell r="C25">
            <v>2030</v>
          </cell>
        </row>
        <row r="28">
          <cell r="C28">
            <v>2026</v>
          </cell>
        </row>
        <row r="29">
          <cell r="C29">
            <v>1</v>
          </cell>
        </row>
        <row r="30">
          <cell r="C30">
            <v>72</v>
          </cell>
        </row>
        <row r="32">
          <cell r="C32">
            <v>0</v>
          </cell>
        </row>
        <row r="34">
          <cell r="C34">
            <v>42.391843851429257</v>
          </cell>
        </row>
        <row r="35">
          <cell r="C35">
            <v>0.25</v>
          </cell>
        </row>
        <row r="37">
          <cell r="C37">
            <v>0</v>
          </cell>
        </row>
        <row r="41">
          <cell r="C41">
            <v>0.1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>
        <row r="84">
          <cell r="I84">
            <v>5568358142.1185684</v>
          </cell>
        </row>
        <row r="88">
          <cell r="I88">
            <v>86887975.017259672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statements"/>
      <sheetName val="Working quarter"/>
      <sheetName val="Output"/>
      <sheetName val="Input sheet"/>
      <sheetName val="Tarif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statements"/>
      <sheetName val="Working quarter"/>
      <sheetName val="Output"/>
      <sheetName val="Input sheet"/>
      <sheetName val="Tarif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Output"/>
      <sheetName val="Input Page"/>
      <sheetName val="Op-BS"/>
      <sheetName val="Financials"/>
      <sheetName val="Ratios"/>
      <sheetName val="Returns"/>
    </sheetNames>
    <sheetDataSet>
      <sheetData sheetId="0" refreshError="1"/>
      <sheetData sheetId="1" refreshError="1"/>
      <sheetData sheetId="2" refreshError="1">
        <row r="4">
          <cell r="D4" t="str">
            <v>Novelis Inc.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Analysis"/>
      <sheetName val="Sheet2"/>
      <sheetName val="Sheet3"/>
      <sheetName val="Mar 9"/>
      <sheetName val="100%"/>
      <sheetName val="Billing 1"/>
      <sheetName val="conditions"/>
      <sheetName val="openings"/>
      <sheetName val="Stl-B"/>
      <sheetName val="Billing Attachment (2)"/>
      <sheetName val="Billing Attachment (3)"/>
      <sheetName val="Billing Attachment (4)"/>
      <sheetName val="Billing Attachment (5)"/>
      <sheetName val="Angeles Business Center"/>
    </sheetNames>
    <sheetDataSet>
      <sheetData sheetId="0" refreshError="1"/>
      <sheetData sheetId="1" refreshError="1">
        <row r="22">
          <cell r="M22">
            <v>1.3333333333333333</v>
          </cell>
          <cell r="N22">
            <v>0.25</v>
          </cell>
        </row>
        <row r="23">
          <cell r="M23">
            <v>1.3333333333333333</v>
          </cell>
          <cell r="N23">
            <v>0.45</v>
          </cell>
        </row>
        <row r="24">
          <cell r="M24">
            <v>1.3333333333333333</v>
          </cell>
          <cell r="N24">
            <v>0.2</v>
          </cell>
        </row>
        <row r="25">
          <cell r="M25">
            <v>1.3333333333333333</v>
          </cell>
          <cell r="N25">
            <v>0.2</v>
          </cell>
        </row>
        <row r="26">
          <cell r="M26">
            <v>1.3333333333333333</v>
          </cell>
          <cell r="N26">
            <v>0.12</v>
          </cell>
        </row>
        <row r="27">
          <cell r="M27">
            <v>1.1764705882352942</v>
          </cell>
          <cell r="N27">
            <v>0.1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M Tables"/>
      <sheetName val="Financing Plan"/>
      <sheetName val="IDC LINE-WISE ALLOCATION"/>
      <sheetName val="Consolidated Investment Plan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M Tables"/>
      <sheetName val="Financing Plan"/>
      <sheetName val="IDC LINE-WISE ALLOCATION"/>
      <sheetName val="Consolidated Investment Plan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rchart"/>
      <sheetName val="cpm"/>
      <sheetName val="BOQ"/>
      <sheetName val="DPA"/>
      <sheetName val="library"/>
      <sheetName val="cashflow"/>
      <sheetName val="QTRCF"/>
      <sheetName val="manpower"/>
      <sheetName val="eqpt"/>
      <sheetName val="computation"/>
      <sheetName val="daywork rate"/>
      <sheetName val="daywork_rate"/>
    </sheetNames>
    <sheetDataSet>
      <sheetData sheetId="0">
        <row r="3">
          <cell r="D3">
            <v>86.5</v>
          </cell>
        </row>
      </sheetData>
      <sheetData sheetId="1">
        <row r="3">
          <cell r="D3">
            <v>86.5</v>
          </cell>
        </row>
      </sheetData>
      <sheetData sheetId="2"/>
      <sheetData sheetId="3">
        <row r="3">
          <cell r="D3">
            <v>86.5</v>
          </cell>
        </row>
      </sheetData>
      <sheetData sheetId="4">
        <row r="3">
          <cell r="D3">
            <v>86.5</v>
          </cell>
        </row>
        <row r="103">
          <cell r="D103">
            <v>300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rchart"/>
      <sheetName val="cpm"/>
      <sheetName val="BOQ"/>
      <sheetName val="DPA"/>
      <sheetName val="library"/>
      <sheetName val="cashflow"/>
      <sheetName val="QTRCF"/>
      <sheetName val="manpower"/>
      <sheetName val="eqpt"/>
      <sheetName val="computation"/>
      <sheetName val="daywork rate"/>
      <sheetName val="daywork_rate"/>
    </sheetNames>
    <sheetDataSet>
      <sheetData sheetId="0"/>
      <sheetData sheetId="1"/>
      <sheetData sheetId="2"/>
      <sheetData sheetId="3"/>
      <sheetData sheetId="4">
        <row r="103">
          <cell r="D103">
            <v>300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onent1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onent1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MAIN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MAIN"/>
    </sheetNames>
    <sheetDataSet>
      <sheetData sheetId="0" refreshError="1"/>
      <sheetData sheetId="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GANTAR"/>
      <sheetName val="sample"/>
      <sheetName val="sample _2_"/>
      <sheetName val="RPIJM"/>
      <sheetName val="RPIJM samb_ baru"/>
      <sheetName val="RPIJM samb_ Pengembangan"/>
      <sheetName val="Renc_Kegt"/>
      <sheetName val="Invest"/>
      <sheetName val="PELANGGAN"/>
      <sheetName val="BEPPENDAMPING"/>
      <sheetName val="restrukturisasi"/>
      <sheetName val="Data Pembukaan_1.1"/>
      <sheetName val="ANL- K "/>
      <sheetName val="Assumptions"/>
      <sheetName val="MA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GANTAR"/>
      <sheetName val="sample"/>
      <sheetName val="sample _2_"/>
      <sheetName val="RPIJM"/>
      <sheetName val="RPIJM samb_ baru"/>
      <sheetName val="RPIJM samb_ Pengembangan"/>
      <sheetName val="Renc_Kegt"/>
      <sheetName val="Invest"/>
      <sheetName val="PELANGGAN"/>
      <sheetName val="BEPPENDAMPING"/>
      <sheetName val="restrukturisasi"/>
      <sheetName val="Data Pembukaan_1.1"/>
      <sheetName val="ANL- K "/>
      <sheetName val="Assumptions"/>
      <sheetName val="MA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Info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Info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. Price Cont, IDC and FCDI"/>
      <sheetName val="12. Fin Plan + WACC"/>
    </sheetNames>
    <sheetDataSet>
      <sheetData sheetId="0" refreshError="1"/>
      <sheetData sheetId="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. Price Cont, IDC and FCDI"/>
      <sheetName val="12. Fin Plan + WACC"/>
    </sheetNames>
    <sheetDataSet>
      <sheetData sheetId="0" refreshError="1"/>
      <sheetData sheetId="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assumptions"/>
      <sheetName val="rev&amp;cos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assumptions"/>
      <sheetName val="rev&amp;cos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Info"/>
      <sheetName val="Index"/>
      <sheetName val="Old Brand Front Cover"/>
      <sheetName val="Sheet"/>
      <sheetName val="Sheet1"/>
    </sheetNames>
    <sheetDataSet>
      <sheetData sheetId="0">
        <row r="3">
          <cell r="D3"/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F_input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e"/>
      <sheetName val="EconBenefits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e"/>
      <sheetName val="EconBenefits"/>
    </sheetNames>
    <sheetDataSet>
      <sheetData sheetId="0" refreshError="1"/>
      <sheetData sheetId="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onent1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onent1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</sheet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XXXX"/>
      <sheetName val="pldt"/>
      <sheetName val="PROS"/>
      <sheetName val="Print2"/>
      <sheetName val="SKENARIO"/>
      <sheetName val="KinerjaBPPSPAM"/>
      <sheetName val="Output Statements_3"/>
      <sheetName val="Aktif Alternatif_1"/>
      <sheetName val="RPKP_4tahn"/>
      <sheetName val="Asumsi Manajemen_1.3"/>
      <sheetName val="Data Pembukaan_1.1"/>
      <sheetName val="RINCIAN_BIAYA_4"/>
      <sheetName val="Ringkasan Kinerja"/>
      <sheetName val="Inflasi_1.2"/>
      <sheetName val="O&amp;M_1.4"/>
      <sheetName val="Produksi, Samb,Pendapatan_1.5"/>
      <sheetName val="FIRR_6"/>
      <sheetName val="Project Cost_5"/>
      <sheetName val="PEMINDAHBUKUAN_2"/>
      <sheetName val="Pembiayaan Investasi_1.8"/>
      <sheetName val="Rincian Investasi_1.6"/>
      <sheetName val="Pinjaman Baru_1.9"/>
      <sheetName val="Title Page"/>
      <sheetName val="Kontrol"/>
      <sheetName val="Base Info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PDAM KABUPATEN PACITAN</v>
          </cell>
        </row>
        <row r="2">
          <cell r="A2" t="str">
            <v>DATA PEMBUKAAN / AWAL (DATA AUDIT 3 TAHUN TERAKHIR DAN REALISASI TAHUN BERJALAN</v>
          </cell>
        </row>
        <row r="4">
          <cell r="A4" t="str">
            <v>Periode data 1 (satu) tahun terakhir</v>
          </cell>
          <cell r="B4">
            <v>2008</v>
          </cell>
          <cell r="C4" t="str">
            <v>(Aktual/Audited)</v>
          </cell>
          <cell r="E4" t="str">
            <v>Lampiran 2.2.3</v>
          </cell>
        </row>
        <row r="5">
          <cell r="A5" t="str">
            <v>Pemilihan Bahasa</v>
          </cell>
          <cell r="B5" t="str">
            <v>Bahasa (1/2)</v>
          </cell>
          <cell r="C5">
            <v>1</v>
          </cell>
          <cell r="E5" t="str">
            <v>Indonesia</v>
          </cell>
          <cell r="F5" t="str">
            <v>Isi cell warna kuning sesuai hasil audit</v>
          </cell>
        </row>
        <row r="6">
          <cell r="A6" t="str">
            <v>POSISI DATA AWAL</v>
          </cell>
        </row>
        <row r="8">
          <cell r="A8" t="str">
            <v>RIBUAN RUPIAH</v>
          </cell>
        </row>
        <row r="10">
          <cell r="A10" t="str">
            <v>URAIAN</v>
          </cell>
          <cell r="B10" t="str">
            <v>TAHUN</v>
          </cell>
        </row>
        <row r="11">
          <cell r="B11">
            <v>2005</v>
          </cell>
          <cell r="C11">
            <v>2006</v>
          </cell>
          <cell r="D11">
            <v>2007</v>
          </cell>
          <cell r="E11">
            <v>2008</v>
          </cell>
        </row>
        <row r="13">
          <cell r="A13" t="str">
            <v>NERACA</v>
          </cell>
        </row>
        <row r="14">
          <cell r="A14" t="str">
            <v>Kas</v>
          </cell>
        </row>
        <row r="15">
          <cell r="A15" t="str">
            <v>Investasi Jangka Pendek (Deposito)</v>
          </cell>
        </row>
        <row r="16">
          <cell r="A16" t="str">
            <v>Piutang Air - Net</v>
          </cell>
        </row>
        <row r="17">
          <cell r="A17" t="str">
            <v>Piutang non Air - Net</v>
          </cell>
        </row>
        <row r="18">
          <cell r="A18" t="str">
            <v>Piutang Lain-lain dan Aktiva Lancar lainnya</v>
          </cell>
        </row>
        <row r="19">
          <cell r="A19" t="str">
            <v>Uang Muka</v>
          </cell>
        </row>
        <row r="20">
          <cell r="A20" t="str">
            <v>Persediaan</v>
          </cell>
        </row>
        <row r="21">
          <cell r="A21" t="str">
            <v>Aktiva pajak tangguhan</v>
          </cell>
        </row>
        <row r="22">
          <cell r="A22" t="str">
            <v>Tanah</v>
          </cell>
        </row>
        <row r="23">
          <cell r="A23" t="str">
            <v>Aktiva tetap air minum diluar Tanah</v>
          </cell>
        </row>
        <row r="24">
          <cell r="A24" t="str">
            <v>Akumulasi Penyusutan aktiva tetap air minum</v>
          </cell>
        </row>
        <row r="25">
          <cell r="A25" t="str">
            <v>Aktiva Tetap air limbah/kotor diluar tanah</v>
          </cell>
        </row>
        <row r="26">
          <cell r="A26" t="str">
            <v>Akumulasi Penyusutan Aktiva Tetap air limbah/kotor</v>
          </cell>
        </row>
        <row r="27">
          <cell r="A27" t="str">
            <v>Aktiva dalam Penyelesaian</v>
          </cell>
        </row>
        <row r="28">
          <cell r="A28" t="str">
            <v>Aktiva Lain-lain</v>
          </cell>
        </row>
        <row r="29">
          <cell r="A29" t="str">
            <v>JUMLAH AKTIVA</v>
          </cell>
        </row>
        <row r="31">
          <cell r="A31" t="str">
            <v>Hutang Usaha</v>
          </cell>
        </row>
        <row r="32">
          <cell r="A32" t="str">
            <v>Kewajiban Jk.Pendek lainnya (Hutang lain-2,Titipan Retribusi, lainnya)</v>
          </cell>
        </row>
        <row r="33">
          <cell r="A33" t="str">
            <v>Hutang Pajak Ps.21,23,Ppn,PBB dan Pajak Lainnya</v>
          </cell>
        </row>
        <row r="34">
          <cell r="A34" t="str">
            <v>Hutang Pajak Ps.25</v>
          </cell>
        </row>
        <row r="35">
          <cell r="A35" t="str">
            <v>Hutang Bunga Pinjaman</v>
          </cell>
        </row>
        <row r="36">
          <cell r="A36" t="str">
            <v>Hutang Denda (Pokok &amp; Bunga, Komitmen) Pinjaman</v>
          </cell>
        </row>
        <row r="37">
          <cell r="A37" t="str">
            <v>Hutang Biaya Komitmen</v>
          </cell>
        </row>
        <row r="38">
          <cell r="A38" t="str">
            <v>Hutang Jasa Bank</v>
          </cell>
        </row>
        <row r="39">
          <cell r="A39" t="str">
            <v>Bagian Hutang Jk.Panjang Jatuh Tempo</v>
          </cell>
        </row>
        <row r="40">
          <cell r="A40" t="str">
            <v>Bagian Hutang Jk.Panjang yang akan Jatuh Tempo</v>
          </cell>
        </row>
        <row r="41">
          <cell r="A41" t="str">
            <v>Hutang Jangka Panjang</v>
          </cell>
        </row>
        <row r="42">
          <cell r="A42" t="str">
            <v>Hutang Jangka Panjang Lainnya</v>
          </cell>
        </row>
        <row r="43">
          <cell r="A43" t="str">
            <v>Uang Jaminan Langganan</v>
          </cell>
        </row>
        <row r="44">
          <cell r="A44" t="str">
            <v>Cadangan Dana Meter</v>
          </cell>
        </row>
        <row r="45">
          <cell r="A45" t="str">
            <v>Kewajiban Lain-lain (Cadangan Dana Pensiun,Cadangan lainnya,Hutang Leasing dll)</v>
          </cell>
        </row>
        <row r="46">
          <cell r="A46" t="str">
            <v>Penyertaan Pemerintah Daerah</v>
          </cell>
        </row>
        <row r="47">
          <cell r="A47" t="str">
            <v>Penyertaan Pemerintah Pusat (termasuk yang belum ditetapkan statusnya)</v>
          </cell>
        </row>
        <row r="48">
          <cell r="A48" t="str">
            <v>Modal Hibah &amp; Cadangan Umum</v>
          </cell>
        </row>
        <row r="49">
          <cell r="A49" t="str">
            <v xml:space="preserve">Cadangan </v>
          </cell>
        </row>
        <row r="50">
          <cell r="A50" t="str">
            <v>Akumulasi Laba/(Rugi)</v>
          </cell>
        </row>
        <row r="51">
          <cell r="A51" t="str">
            <v>Laba/(Rugi) Tahun Berjalan</v>
          </cell>
        </row>
        <row r="52">
          <cell r="A52" t="str">
            <v>JUMLAH PASSIVA</v>
          </cell>
        </row>
        <row r="53">
          <cell r="A53" t="str">
            <v>Control (harus bernilai = 0)</v>
          </cell>
        </row>
        <row r="56">
          <cell r="A56" t="str">
            <v>LABA / (RUGI)</v>
          </cell>
        </row>
        <row r="57">
          <cell r="A57" t="str">
            <v>Pendapatan Operasional</v>
          </cell>
        </row>
        <row r="58">
          <cell r="A58" t="str">
            <v>Penjualan Air (Harga Air)</v>
          </cell>
        </row>
        <row r="59">
          <cell r="A59" t="str">
            <v>Jasa  Adminsistrasi,Jasa Berlangganan dll</v>
          </cell>
        </row>
        <row r="60">
          <cell r="A60" t="str">
            <v>Sambungan Baru</v>
          </cell>
        </row>
        <row r="61">
          <cell r="A61" t="str">
            <v>Lain-lain Pendapatan Operasi &amp; Kolam Renang</v>
          </cell>
        </row>
        <row r="62">
          <cell r="A62" t="str">
            <v>Jumlah Pendapatan Operasional air minum</v>
          </cell>
        </row>
        <row r="63">
          <cell r="A63" t="str">
            <v>Pendapatan air limbah/kotor</v>
          </cell>
        </row>
        <row r="64">
          <cell r="A64" t="str">
            <v>Pendapatan Non Operasional  &amp; Keuntungan luar biasa</v>
          </cell>
        </row>
        <row r="65">
          <cell r="A65" t="str">
            <v>Jumlah Pendapatan</v>
          </cell>
        </row>
        <row r="66">
          <cell r="A66" t="str">
            <v>Biaya Operasional</v>
          </cell>
        </row>
        <row r="67">
          <cell r="A67" t="str">
            <v xml:space="preserve">    * Biaya Sumber Air  :</v>
          </cell>
        </row>
        <row r="68">
          <cell r="A68" t="str">
            <v xml:space="preserve">       - Biaya Operasi Sumber Air  :</v>
          </cell>
        </row>
        <row r="69">
          <cell r="A69" t="str">
            <v xml:space="preserve">         # Biaya Tenaga Kerja</v>
          </cell>
        </row>
        <row r="70">
          <cell r="A70" t="str">
            <v xml:space="preserve">         # Biaya Bahan Bakar</v>
          </cell>
        </row>
        <row r="71">
          <cell r="A71" t="str">
            <v xml:space="preserve">         # Biaya Listrik </v>
          </cell>
        </row>
        <row r="72">
          <cell r="A72" t="str">
            <v xml:space="preserve">         # Biaya Pemeliharaan</v>
          </cell>
        </row>
        <row r="73">
          <cell r="A73" t="str">
            <v xml:space="preserve">         # Biaya Retribusi Air Baku</v>
          </cell>
        </row>
        <row r="74">
          <cell r="A74" t="str">
            <v xml:space="preserve">         # Biaya Penyusutan</v>
          </cell>
        </row>
        <row r="75">
          <cell r="A75" t="str">
            <v xml:space="preserve">         # Biaya Operasi Lainnya</v>
          </cell>
        </row>
        <row r="76">
          <cell r="A76" t="str">
            <v xml:space="preserve">         # Biaya Pembelian air dari PDAM lain</v>
          </cell>
        </row>
        <row r="77">
          <cell r="A77" t="str">
            <v xml:space="preserve">   * JUMLAH BIAYA SUMBER AIR</v>
          </cell>
        </row>
        <row r="78">
          <cell r="A78" t="str">
            <v xml:space="preserve">    * Biaya Pengolahan Air  :</v>
          </cell>
        </row>
        <row r="79">
          <cell r="A79" t="str">
            <v xml:space="preserve">       - Biaya Operasi Pengolahan Air  :</v>
          </cell>
        </row>
        <row r="80">
          <cell r="A80" t="str">
            <v xml:space="preserve">         # Biaya Tenaga Kerja</v>
          </cell>
        </row>
        <row r="81">
          <cell r="A81" t="str">
            <v xml:space="preserve">         # Biaya Bahan Kimia &amp; Bahan Pembantu</v>
          </cell>
        </row>
        <row r="82">
          <cell r="A82" t="str">
            <v xml:space="preserve">         # Biaya Bahan Bakar</v>
          </cell>
        </row>
        <row r="83">
          <cell r="A83" t="str">
            <v xml:space="preserve">         # Biaya Listrik </v>
          </cell>
        </row>
        <row r="84">
          <cell r="A84" t="str">
            <v xml:space="preserve">         # Biaya Pemeliharaan</v>
          </cell>
        </row>
        <row r="85">
          <cell r="A85" t="str">
            <v xml:space="preserve">         # Biaya Penyusutan</v>
          </cell>
        </row>
        <row r="86">
          <cell r="A86" t="str">
            <v xml:space="preserve">         # Biaya Pembelian air dari PDAM lain</v>
          </cell>
        </row>
        <row r="87">
          <cell r="A87" t="str">
            <v xml:space="preserve">         # Biaya Operasi Lainnya</v>
          </cell>
        </row>
        <row r="88">
          <cell r="A88" t="str">
            <v xml:space="preserve">   * JUMLAH BIAYA PENGOLAHAN</v>
          </cell>
        </row>
        <row r="89">
          <cell r="A89" t="str">
            <v xml:space="preserve">    * Biaya Transmisi &amp; Distribusi  :</v>
          </cell>
        </row>
        <row r="90">
          <cell r="A90" t="str">
            <v xml:space="preserve">       - Biaya Operasi Transmisi &amp; Distribusi  :</v>
          </cell>
        </row>
        <row r="91">
          <cell r="A91" t="str">
            <v xml:space="preserve">         # Biaya Tenaga Kerja</v>
          </cell>
        </row>
        <row r="92">
          <cell r="A92" t="str">
            <v xml:space="preserve">         # Biaya Listrik</v>
          </cell>
        </row>
        <row r="93">
          <cell r="A93" t="str">
            <v xml:space="preserve">         # Biaya Bahan Bakar</v>
          </cell>
        </row>
        <row r="94">
          <cell r="A94" t="str">
            <v xml:space="preserve">         # Biaya Pemakaian Bahan Perlengkapan</v>
          </cell>
        </row>
        <row r="95">
          <cell r="A95" t="str">
            <v xml:space="preserve">         # Biaya Pemeliharaan</v>
          </cell>
        </row>
        <row r="96">
          <cell r="A96" t="str">
            <v xml:space="preserve">         # Biaya Penyusutan</v>
          </cell>
        </row>
        <row r="97">
          <cell r="A97" t="str">
            <v xml:space="preserve">         # Biaya Operasi Lainnya</v>
          </cell>
        </row>
        <row r="98">
          <cell r="A98" t="str">
            <v xml:space="preserve">   * JUMLAH BIAYA TRANSMISI &amp; DISTRIBUSI</v>
          </cell>
        </row>
        <row r="99">
          <cell r="A99" t="str">
            <v xml:space="preserve">   * Biaya air Limbah/Kotor  :</v>
          </cell>
        </row>
        <row r="100">
          <cell r="A100" t="str">
            <v xml:space="preserve">         # Biaya Tenaga Kerja</v>
          </cell>
        </row>
        <row r="101">
          <cell r="A101" t="str">
            <v xml:space="preserve">         # Biaya Listrik</v>
          </cell>
        </row>
        <row r="102">
          <cell r="A102" t="str">
            <v xml:space="preserve">         # Biaya Bahan Bakar</v>
          </cell>
        </row>
        <row r="103">
          <cell r="A103" t="str">
            <v xml:space="preserve">         # Biaya Bahan kimia</v>
          </cell>
        </row>
        <row r="104">
          <cell r="A104" t="str">
            <v xml:space="preserve">         # Biaya laboratorium</v>
          </cell>
        </row>
        <row r="105">
          <cell r="A105" t="str">
            <v xml:space="preserve">         # Biaya Pemakaian Bahan Perlengkapan</v>
          </cell>
        </row>
        <row r="106">
          <cell r="A106" t="str">
            <v xml:space="preserve">         # Biaya Pemeliharaan</v>
          </cell>
        </row>
        <row r="107">
          <cell r="A107" t="str">
            <v xml:space="preserve">         # Biaya Penyusutan</v>
          </cell>
        </row>
        <row r="108">
          <cell r="A108" t="str">
            <v xml:space="preserve">         # Biaya Operasi Lainnya</v>
          </cell>
        </row>
        <row r="109">
          <cell r="A109" t="str">
            <v xml:space="preserve">   * JUMLAH BIAYA AIR LIMBAH</v>
          </cell>
        </row>
        <row r="110">
          <cell r="A110" t="str">
            <v xml:space="preserve">    *Biaya Umum &amp; Administrasi</v>
          </cell>
        </row>
        <row r="111">
          <cell r="A111" t="str">
            <v>-Biaya pegawai</v>
          </cell>
        </row>
        <row r="112">
          <cell r="A112" t="str">
            <v>-Biaya kantor</v>
          </cell>
        </row>
        <row r="113">
          <cell r="A113" t="str">
            <v>-Biaya langganan</v>
          </cell>
        </row>
        <row r="114">
          <cell r="A114" t="str">
            <v>-Biaya Listrik dan Bahan Bakar</v>
          </cell>
        </row>
        <row r="115">
          <cell r="A115" t="str">
            <v>-Biaya Pemeliharaan</v>
          </cell>
        </row>
        <row r="116">
          <cell r="A116" t="str">
            <v>-Biaya penelitian</v>
          </cell>
        </row>
        <row r="117">
          <cell r="A117" t="str">
            <v>-Biaya bunga pinjaman</v>
          </cell>
        </row>
        <row r="118">
          <cell r="A118" t="str">
            <v xml:space="preserve">  * Bunga Pinjaman</v>
          </cell>
        </row>
        <row r="119">
          <cell r="A119" t="str">
            <v xml:space="preserve">  * Denda </v>
          </cell>
        </row>
        <row r="120">
          <cell r="A120" t="str">
            <v xml:space="preserve">  * Kredit lainnya</v>
          </cell>
        </row>
        <row r="121">
          <cell r="A121" t="str">
            <v xml:space="preserve">  * Rupa rupa Keuangan</v>
          </cell>
        </row>
        <row r="122">
          <cell r="A122" t="str">
            <v>-Biaya penyisihan dan penghapusan piutang</v>
          </cell>
        </row>
        <row r="123">
          <cell r="A123" t="str">
            <v>-Biaya rupa-rupa umum &amp; Kolam Renang</v>
          </cell>
        </row>
        <row r="124">
          <cell r="A124" t="str">
            <v xml:space="preserve">-Biaya penyusutan </v>
          </cell>
        </row>
        <row r="125">
          <cell r="A125" t="str">
            <v>-Biaya amortisasi</v>
          </cell>
        </row>
        <row r="126">
          <cell r="A126" t="str">
            <v xml:space="preserve">   * JUMLAH BIAYA UMUM &amp; ADMINISTRASI</v>
          </cell>
        </row>
        <row r="129">
          <cell r="A129" t="str">
            <v>TOTAL BIAYA OPERASIONAL</v>
          </cell>
        </row>
        <row r="131">
          <cell r="A131" t="str">
            <v>RINGKASAN BIAYA OPERASIONAL</v>
          </cell>
        </row>
        <row r="132">
          <cell r="A132" t="str">
            <v>Tenaga Kerja</v>
          </cell>
        </row>
        <row r="133">
          <cell r="A133" t="str">
            <v xml:space="preserve"> Listrik dan Bahan Bakar</v>
          </cell>
        </row>
        <row r="134">
          <cell r="A134" t="str">
            <v xml:space="preserve"> Bahan Kimia dan Bahan Pembantu</v>
          </cell>
        </row>
        <row r="135">
          <cell r="A135" t="str">
            <v xml:space="preserve"> Pemeliharaan &amp; Biaya Bahan</v>
          </cell>
        </row>
        <row r="136">
          <cell r="A136" t="str">
            <v xml:space="preserve"> Biaya Operasi Langsung lainnya</v>
          </cell>
        </row>
        <row r="137">
          <cell r="A137" t="str">
            <v xml:space="preserve"> Administrasi &amp; Umum</v>
          </cell>
        </row>
        <row r="138">
          <cell r="A138" t="str">
            <v xml:space="preserve"> Penyusutan Aktiva Tetap</v>
          </cell>
        </row>
        <row r="139">
          <cell r="A139" t="str">
            <v xml:space="preserve"> Biaya Amortisasi</v>
          </cell>
        </row>
        <row r="140">
          <cell r="A140" t="str">
            <v xml:space="preserve"> Penyisihan Piutang</v>
          </cell>
        </row>
        <row r="141">
          <cell r="A141" t="str">
            <v xml:space="preserve"> Air Baku / Retribusi air / Pajak Air </v>
          </cell>
        </row>
        <row r="142">
          <cell r="A142" t="str">
            <v>Pembelian air dari PDAM lain</v>
          </cell>
        </row>
        <row r="144">
          <cell r="A144" t="str">
            <v>TOTAL BIAYA OPERASIONAL &amp; PENYUSUTAN</v>
          </cell>
        </row>
        <row r="145">
          <cell r="A145" t="str">
            <v>Biaya Bunga Pinjaman</v>
          </cell>
        </row>
        <row r="147">
          <cell r="A147" t="str">
            <v>TOTAL BIAYA OPERASIONAL &amp; BUNGA</v>
          </cell>
        </row>
        <row r="149">
          <cell r="A149" t="str">
            <v>Biaya Operasional</v>
          </cell>
        </row>
        <row r="150">
          <cell r="A150" t="str">
            <v>Biaya Non Operasional &amp; Kerugian Luar Biasa</v>
          </cell>
        </row>
        <row r="151">
          <cell r="A151" t="str">
            <v>Pajak Pendapatan &amp; Pajak Tangguhan</v>
          </cell>
        </row>
        <row r="153">
          <cell r="A153" t="str">
            <v>Total Biaya Operasional  + Pajak</v>
          </cell>
        </row>
        <row r="155">
          <cell r="A155" t="str">
            <v>Rugi/Laba Setelah Pajak</v>
          </cell>
        </row>
        <row r="157">
          <cell r="A157" t="str">
            <v>DATA LAIN-LAIN</v>
          </cell>
        </row>
        <row r="158">
          <cell r="A158" t="str">
            <v>Jumlah Penduduk Kota …….</v>
          </cell>
        </row>
        <row r="159">
          <cell r="A159" t="str">
            <v>Pertumbuhan penduduk / tahun</v>
          </cell>
        </row>
        <row r="160">
          <cell r="A160" t="str">
            <v>Upah Minimum Kab/Kota (UMK) / Bulan</v>
          </cell>
        </row>
        <row r="161">
          <cell r="A161" t="str">
            <v>Kenaikan Upah Minimum Kab/Kota (UMK) / tahun</v>
          </cell>
        </row>
        <row r="162">
          <cell r="A162" t="str">
            <v>Jumlah Jiwa per Rumah Tangga (RT)</v>
          </cell>
        </row>
        <row r="163">
          <cell r="A163" t="str">
            <v>Jumlah Penduduk terlayani</v>
          </cell>
        </row>
        <row r="164">
          <cell r="A164" t="str">
            <v>Cakupan Pelayanan</v>
          </cell>
        </row>
        <row r="165">
          <cell r="A165" t="str">
            <v>Jumlah air di Produksi  (000 m3)</v>
          </cell>
        </row>
        <row r="166">
          <cell r="A166" t="str">
            <v>Jumlah air di ditribusi  (000 m3)</v>
          </cell>
        </row>
        <row r="167">
          <cell r="A167" t="str">
            <v>Kapasitas Produksi terpasang (l/detik)</v>
          </cell>
        </row>
        <row r="168">
          <cell r="A168" t="str">
            <v>Kapasitas Produksi operasi (l/detik)</v>
          </cell>
        </row>
        <row r="169">
          <cell r="A169" t="str">
            <v>% Kapasitas Produksi Operasi</v>
          </cell>
        </row>
        <row r="170">
          <cell r="A170" t="str">
            <v>Pembelian Air Olahan (000 m3)</v>
          </cell>
        </row>
        <row r="171">
          <cell r="A171" t="str">
            <v>Kapasitas Pembelian air olahan (l/detik)</v>
          </cell>
        </row>
        <row r="172">
          <cell r="A172" t="str">
            <v>Penjualan Air (000 m3)</v>
          </cell>
        </row>
        <row r="173">
          <cell r="A173" t="str">
            <v>- Domestik (RT)</v>
          </cell>
        </row>
        <row r="174">
          <cell r="A174" t="str">
            <v>- Non Domestik (Industri &amp; Usaha)</v>
          </cell>
        </row>
        <row r="175">
          <cell r="A175" t="str">
            <v>- Kran Umum</v>
          </cell>
        </row>
        <row r="176">
          <cell r="A176" t="str">
            <v>- Sosial</v>
          </cell>
        </row>
        <row r="177">
          <cell r="A177" t="str">
            <v xml:space="preserve"> Pendapatan Penjualan Air (Harga Air - Rp.000)</v>
          </cell>
        </row>
        <row r="178">
          <cell r="A178" t="str">
            <v>- Domestik (RT)</v>
          </cell>
        </row>
        <row r="179">
          <cell r="A179" t="str">
            <v>- Non Domestik (Industri, Usaha, Inst Pemerintah,dll)</v>
          </cell>
        </row>
        <row r="180">
          <cell r="A180" t="str">
            <v>- Kran Umum</v>
          </cell>
        </row>
        <row r="181">
          <cell r="A181" t="str">
            <v>- Sosial</v>
          </cell>
        </row>
        <row r="182">
          <cell r="A182" t="str">
            <v>Jumlah Sambungan Langganan Awal (Aktiv+Non Aktiv)</v>
          </cell>
        </row>
        <row r="183">
          <cell r="A183" t="str">
            <v>- Aktif</v>
          </cell>
        </row>
        <row r="184">
          <cell r="A184" t="str">
            <v>- Non Aktif</v>
          </cell>
        </row>
        <row r="185">
          <cell r="A185" t="str">
            <v>Jumlah Sambungan Langganan awal- Aktif</v>
          </cell>
        </row>
        <row r="186">
          <cell r="A186" t="str">
            <v>Jumlah Sambungan Langganan akhir</v>
          </cell>
        </row>
        <row r="187">
          <cell r="A187" t="str">
            <v>- Domestik (RT)</v>
          </cell>
        </row>
        <row r="188">
          <cell r="A188" t="str">
            <v>- Non Domestik (Industri, Usaha, Inst Pemerintah,dll)</v>
          </cell>
        </row>
        <row r="189">
          <cell r="A189" t="str">
            <v>- Kran Umum</v>
          </cell>
        </row>
        <row r="190">
          <cell r="A190" t="str">
            <v>- Sosial</v>
          </cell>
        </row>
        <row r="191">
          <cell r="A191" t="str">
            <v xml:space="preserve"> Jumlah Penambahan Sambungan Baru</v>
          </cell>
        </row>
        <row r="192">
          <cell r="A192" t="str">
            <v xml:space="preserve"> Kenaikan / (Penurunan) Jumlah Sambungan</v>
          </cell>
        </row>
        <row r="193">
          <cell r="A193" t="str">
            <v xml:space="preserve"> Selisih belum direkeningkan/penyambungan kembali/penutupan</v>
          </cell>
        </row>
        <row r="194">
          <cell r="A194" t="str">
            <v>Jumlah Karyawan</v>
          </cell>
        </row>
        <row r="195">
          <cell r="A195" t="str">
            <v xml:space="preserve"> Tarip Dasar ( Tarip RT terendah) 0 - 10 m3</v>
          </cell>
        </row>
        <row r="196">
          <cell r="A196" t="str">
            <v xml:space="preserve"> Harga air rata-rata Rp./m3</v>
          </cell>
        </row>
        <row r="197">
          <cell r="A197" t="str">
            <v xml:space="preserve"> Domestik(RT) </v>
          </cell>
        </row>
        <row r="198">
          <cell r="A198" t="str">
            <v>Non Domestik (Industri ,Usaha,lainnya )</v>
          </cell>
        </row>
        <row r="199">
          <cell r="A199" t="str">
            <v xml:space="preserve"> Sosial &amp; Kran Umum</v>
          </cell>
        </row>
        <row r="200">
          <cell r="A200" t="str">
            <v>Koefisen faktor tarip rata-rata</v>
          </cell>
        </row>
        <row r="201">
          <cell r="A201" t="str">
            <v xml:space="preserve"> Domestik(RT) </v>
          </cell>
        </row>
        <row r="202">
          <cell r="A202" t="str">
            <v>Non Domestik (Industri ,Usaha,lainnya )</v>
          </cell>
        </row>
        <row r="203">
          <cell r="A203" t="str">
            <v xml:space="preserve"> Sosial &amp; Kran Umum</v>
          </cell>
        </row>
        <row r="206">
          <cell r="A206" t="str">
            <v>Rasio Kas</v>
          </cell>
        </row>
        <row r="207">
          <cell r="A207" t="str">
            <v>Rasio Lancar</v>
          </cell>
        </row>
        <row r="208">
          <cell r="A208" t="str">
            <v>Rasio Hutang</v>
          </cell>
        </row>
        <row r="210">
          <cell r="A210" t="str">
            <v>Debt to total Assets</v>
          </cell>
        </row>
        <row r="211">
          <cell r="A211" t="str">
            <v>Operating Ratio</v>
          </cell>
        </row>
        <row r="212">
          <cell r="A212" t="str">
            <v>Pendpat thd ht.jangka panjang</v>
          </cell>
        </row>
        <row r="213">
          <cell r="A213" t="str">
            <v xml:space="preserve">Kas terhadap pendapatan </v>
          </cell>
        </row>
        <row r="214">
          <cell r="A214" t="str">
            <v xml:space="preserve">Harga air </v>
          </cell>
        </row>
        <row r="215">
          <cell r="A215" t="str">
            <v>Rata-rata Biaya</v>
          </cell>
        </row>
        <row r="216">
          <cell r="A216" t="str">
            <v>Biaya FCR</v>
          </cell>
        </row>
        <row r="217">
          <cell r="A217" t="str">
            <v>% Kecukupan</v>
          </cell>
        </row>
        <row r="218">
          <cell r="A218" t="str">
            <v>Rata-rata pemakain air / SL</v>
          </cell>
        </row>
        <row r="220">
          <cell r="A220" t="str">
            <v>Kebocoran air</v>
          </cell>
        </row>
        <row r="221">
          <cell r="A221" t="str">
            <v>Kecepatan Penagihan</v>
          </cell>
        </row>
        <row r="222">
          <cell r="A222" t="str">
            <v>Kenaikan tarif</v>
          </cell>
        </row>
        <row r="223">
          <cell r="A223" t="str">
            <v>Efektivitas Jam Operasi</v>
          </cell>
        </row>
        <row r="226">
          <cell r="A226" t="str">
            <v>Struktur Pelanggan</v>
          </cell>
        </row>
        <row r="227">
          <cell r="A227" t="str">
            <v>Niaga</v>
          </cell>
        </row>
        <row r="228">
          <cell r="A228" t="str">
            <v>Non Niaga</v>
          </cell>
        </row>
        <row r="229">
          <cell r="A229" t="str">
            <v>Sosial</v>
          </cell>
        </row>
        <row r="231">
          <cell r="A231" t="str">
            <v>Pegawai per 1000 pelanggan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XXXX"/>
      <sheetName val="pldt"/>
      <sheetName val="PROS"/>
      <sheetName val="Print2"/>
      <sheetName val="SKENARIO"/>
      <sheetName val="KinerjaBPPSPAM"/>
      <sheetName val="Output Statements_3"/>
      <sheetName val="Aktif Alternatif_1"/>
      <sheetName val="RPKP_4tahn"/>
      <sheetName val="Asumsi Manajemen_1.3"/>
      <sheetName val="Data Pembukaan_1.1"/>
      <sheetName val="RINCIAN_BIAYA_4"/>
      <sheetName val="Ringkasan Kinerja"/>
      <sheetName val="Inflasi_1.2"/>
      <sheetName val="O&amp;M_1.4"/>
      <sheetName val="Produksi, Samb,Pendapatan_1.5"/>
      <sheetName val="FIRR_6"/>
      <sheetName val="Project Cost_5"/>
      <sheetName val="PEMINDAHBUKUAN_2"/>
      <sheetName val="Pembiayaan Investasi_1.8"/>
      <sheetName val="Rincian Investasi_1.6"/>
      <sheetName val="Pinjaman Baru_1.9"/>
      <sheetName val="Title Page"/>
      <sheetName val="Kontrol"/>
      <sheetName val="Base Info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PDAM KABUPATEN PACITAN</v>
          </cell>
        </row>
        <row r="2">
          <cell r="A2" t="str">
            <v>DATA PEMBUKAAN / AWAL (DATA AUDIT 3 TAHUN TERAKHIR DAN REALISASI TAHUN BERJALAN</v>
          </cell>
        </row>
        <row r="4">
          <cell r="A4" t="str">
            <v>Periode data 1 (satu) tahun terakhir</v>
          </cell>
          <cell r="B4">
            <v>2008</v>
          </cell>
          <cell r="C4" t="str">
            <v>(Aktual/Audited)</v>
          </cell>
          <cell r="E4" t="str">
            <v>Lampiran 2.2.3</v>
          </cell>
        </row>
        <row r="5">
          <cell r="A5" t="str">
            <v>Pemilihan Bahasa</v>
          </cell>
          <cell r="B5" t="str">
            <v>Bahasa (1/2)</v>
          </cell>
          <cell r="C5">
            <v>1</v>
          </cell>
          <cell r="E5" t="str">
            <v>Indonesia</v>
          </cell>
          <cell r="F5" t="str">
            <v>Isi cell warna kuning sesuai hasil audit</v>
          </cell>
        </row>
        <row r="6">
          <cell r="A6" t="str">
            <v>POSISI DATA AWAL</v>
          </cell>
        </row>
        <row r="8">
          <cell r="A8" t="str">
            <v>RIBUAN RUPIAH</v>
          </cell>
        </row>
        <row r="10">
          <cell r="A10" t="str">
            <v>URAIAN</v>
          </cell>
          <cell r="B10" t="str">
            <v>TAHUN</v>
          </cell>
        </row>
        <row r="11">
          <cell r="B11">
            <v>2005</v>
          </cell>
          <cell r="C11">
            <v>2006</v>
          </cell>
          <cell r="D11">
            <v>2007</v>
          </cell>
          <cell r="E11">
            <v>2008</v>
          </cell>
        </row>
        <row r="13">
          <cell r="A13" t="str">
            <v>NERACA</v>
          </cell>
        </row>
        <row r="14">
          <cell r="A14" t="str">
            <v>Kas</v>
          </cell>
        </row>
        <row r="15">
          <cell r="A15" t="str">
            <v>Investasi Jangka Pendek (Deposito)</v>
          </cell>
        </row>
        <row r="16">
          <cell r="A16" t="str">
            <v>Piutang Air - Net</v>
          </cell>
        </row>
        <row r="17">
          <cell r="A17" t="str">
            <v>Piutang non Air - Net</v>
          </cell>
        </row>
        <row r="18">
          <cell r="A18" t="str">
            <v>Piutang Lain-lain dan Aktiva Lancar lainnya</v>
          </cell>
        </row>
        <row r="19">
          <cell r="A19" t="str">
            <v>Uang Muka</v>
          </cell>
        </row>
        <row r="20">
          <cell r="A20" t="str">
            <v>Persediaan</v>
          </cell>
        </row>
        <row r="21">
          <cell r="A21" t="str">
            <v>Aktiva pajak tangguhan</v>
          </cell>
        </row>
        <row r="22">
          <cell r="A22" t="str">
            <v>Tanah</v>
          </cell>
        </row>
        <row r="23">
          <cell r="A23" t="str">
            <v>Aktiva tetap air minum diluar Tanah</v>
          </cell>
        </row>
        <row r="24">
          <cell r="A24" t="str">
            <v>Akumulasi Penyusutan aktiva tetap air minum</v>
          </cell>
        </row>
        <row r="25">
          <cell r="A25" t="str">
            <v>Aktiva Tetap air limbah/kotor diluar tanah</v>
          </cell>
        </row>
        <row r="26">
          <cell r="A26" t="str">
            <v>Akumulasi Penyusutan Aktiva Tetap air limbah/kotor</v>
          </cell>
        </row>
        <row r="27">
          <cell r="A27" t="str">
            <v>Aktiva dalam Penyelesaian</v>
          </cell>
        </row>
        <row r="28">
          <cell r="A28" t="str">
            <v>Aktiva Lain-lain</v>
          </cell>
        </row>
        <row r="29">
          <cell r="A29" t="str">
            <v>JUMLAH AKTIVA</v>
          </cell>
        </row>
        <row r="31">
          <cell r="A31" t="str">
            <v>Hutang Usaha</v>
          </cell>
        </row>
        <row r="32">
          <cell r="A32" t="str">
            <v>Kewajiban Jk.Pendek lainnya (Hutang lain-2,Titipan Retribusi, lainnya)</v>
          </cell>
        </row>
        <row r="33">
          <cell r="A33" t="str">
            <v>Hutang Pajak Ps.21,23,Ppn,PBB dan Pajak Lainnya</v>
          </cell>
        </row>
        <row r="34">
          <cell r="A34" t="str">
            <v>Hutang Pajak Ps.25</v>
          </cell>
        </row>
        <row r="35">
          <cell r="A35" t="str">
            <v>Hutang Bunga Pinjaman</v>
          </cell>
        </row>
        <row r="36">
          <cell r="A36" t="str">
            <v>Hutang Denda (Pokok &amp; Bunga, Komitmen) Pinjaman</v>
          </cell>
        </row>
        <row r="37">
          <cell r="A37" t="str">
            <v>Hutang Biaya Komitmen</v>
          </cell>
        </row>
        <row r="38">
          <cell r="A38" t="str">
            <v>Hutang Jasa Bank</v>
          </cell>
        </row>
        <row r="39">
          <cell r="A39" t="str">
            <v>Bagian Hutang Jk.Panjang Jatuh Tempo</v>
          </cell>
        </row>
        <row r="40">
          <cell r="A40" t="str">
            <v>Bagian Hutang Jk.Panjang yang akan Jatuh Tempo</v>
          </cell>
        </row>
        <row r="41">
          <cell r="A41" t="str">
            <v>Hutang Jangka Panjang</v>
          </cell>
        </row>
        <row r="42">
          <cell r="A42" t="str">
            <v>Hutang Jangka Panjang Lainnya</v>
          </cell>
        </row>
        <row r="43">
          <cell r="A43" t="str">
            <v>Uang Jaminan Langganan</v>
          </cell>
        </row>
        <row r="44">
          <cell r="A44" t="str">
            <v>Cadangan Dana Meter</v>
          </cell>
        </row>
        <row r="45">
          <cell r="A45" t="str">
            <v>Kewajiban Lain-lain (Cadangan Dana Pensiun,Cadangan lainnya,Hutang Leasing dll)</v>
          </cell>
        </row>
        <row r="46">
          <cell r="A46" t="str">
            <v>Penyertaan Pemerintah Daerah</v>
          </cell>
        </row>
        <row r="47">
          <cell r="A47" t="str">
            <v>Penyertaan Pemerintah Pusat (termasuk yang belum ditetapkan statusnya)</v>
          </cell>
        </row>
        <row r="48">
          <cell r="A48" t="str">
            <v>Modal Hibah &amp; Cadangan Umum</v>
          </cell>
        </row>
        <row r="49">
          <cell r="A49" t="str">
            <v xml:space="preserve">Cadangan </v>
          </cell>
        </row>
        <row r="50">
          <cell r="A50" t="str">
            <v>Akumulasi Laba/(Rugi)</v>
          </cell>
        </row>
        <row r="51">
          <cell r="A51" t="str">
            <v>Laba/(Rugi) Tahun Berjalan</v>
          </cell>
        </row>
        <row r="52">
          <cell r="A52" t="str">
            <v>JUMLAH PASSIVA</v>
          </cell>
        </row>
        <row r="53">
          <cell r="A53" t="str">
            <v>Control (harus bernilai = 0)</v>
          </cell>
        </row>
        <row r="56">
          <cell r="A56" t="str">
            <v>LABA / (RUGI)</v>
          </cell>
        </row>
        <row r="57">
          <cell r="A57" t="str">
            <v>Pendapatan Operasional</v>
          </cell>
        </row>
        <row r="58">
          <cell r="A58" t="str">
            <v>Penjualan Air (Harga Air)</v>
          </cell>
        </row>
        <row r="59">
          <cell r="A59" t="str">
            <v>Jasa  Adminsistrasi,Jasa Berlangganan dll</v>
          </cell>
        </row>
        <row r="60">
          <cell r="A60" t="str">
            <v>Sambungan Baru</v>
          </cell>
        </row>
        <row r="61">
          <cell r="A61" t="str">
            <v>Lain-lain Pendapatan Operasi &amp; Kolam Renang</v>
          </cell>
        </row>
        <row r="62">
          <cell r="A62" t="str">
            <v>Jumlah Pendapatan Operasional air minum</v>
          </cell>
        </row>
        <row r="63">
          <cell r="A63" t="str">
            <v>Pendapatan air limbah/kotor</v>
          </cell>
        </row>
        <row r="64">
          <cell r="A64" t="str">
            <v>Pendapatan Non Operasional  &amp; Keuntungan luar biasa</v>
          </cell>
        </row>
        <row r="65">
          <cell r="A65" t="str">
            <v>Jumlah Pendapatan</v>
          </cell>
        </row>
        <row r="66">
          <cell r="A66" t="str">
            <v>Biaya Operasional</v>
          </cell>
        </row>
        <row r="67">
          <cell r="A67" t="str">
            <v xml:space="preserve">    * Biaya Sumber Air  :</v>
          </cell>
        </row>
        <row r="68">
          <cell r="A68" t="str">
            <v xml:space="preserve">       - Biaya Operasi Sumber Air  :</v>
          </cell>
        </row>
        <row r="69">
          <cell r="A69" t="str">
            <v xml:space="preserve">         # Biaya Tenaga Kerja</v>
          </cell>
        </row>
        <row r="70">
          <cell r="A70" t="str">
            <v xml:space="preserve">         # Biaya Bahan Bakar</v>
          </cell>
        </row>
        <row r="71">
          <cell r="A71" t="str">
            <v xml:space="preserve">         # Biaya Listrik </v>
          </cell>
        </row>
        <row r="72">
          <cell r="A72" t="str">
            <v xml:space="preserve">         # Biaya Pemeliharaan</v>
          </cell>
        </row>
        <row r="73">
          <cell r="A73" t="str">
            <v xml:space="preserve">         # Biaya Retribusi Air Baku</v>
          </cell>
        </row>
        <row r="74">
          <cell r="A74" t="str">
            <v xml:space="preserve">         # Biaya Penyusutan</v>
          </cell>
        </row>
        <row r="75">
          <cell r="A75" t="str">
            <v xml:space="preserve">         # Biaya Operasi Lainnya</v>
          </cell>
        </row>
        <row r="76">
          <cell r="A76" t="str">
            <v xml:space="preserve">         # Biaya Pembelian air dari PDAM lain</v>
          </cell>
        </row>
        <row r="77">
          <cell r="A77" t="str">
            <v xml:space="preserve">   * JUMLAH BIAYA SUMBER AIR</v>
          </cell>
        </row>
        <row r="78">
          <cell r="A78" t="str">
            <v xml:space="preserve">    * Biaya Pengolahan Air  :</v>
          </cell>
        </row>
        <row r="79">
          <cell r="A79" t="str">
            <v xml:space="preserve">       - Biaya Operasi Pengolahan Air  :</v>
          </cell>
        </row>
        <row r="80">
          <cell r="A80" t="str">
            <v xml:space="preserve">         # Biaya Tenaga Kerja</v>
          </cell>
        </row>
        <row r="81">
          <cell r="A81" t="str">
            <v xml:space="preserve">         # Biaya Bahan Kimia &amp; Bahan Pembantu</v>
          </cell>
        </row>
        <row r="82">
          <cell r="A82" t="str">
            <v xml:space="preserve">         # Biaya Bahan Bakar</v>
          </cell>
        </row>
        <row r="83">
          <cell r="A83" t="str">
            <v xml:space="preserve">         # Biaya Listrik </v>
          </cell>
        </row>
        <row r="84">
          <cell r="A84" t="str">
            <v xml:space="preserve">         # Biaya Pemeliharaan</v>
          </cell>
        </row>
        <row r="85">
          <cell r="A85" t="str">
            <v xml:space="preserve">         # Biaya Penyusutan</v>
          </cell>
        </row>
        <row r="86">
          <cell r="A86" t="str">
            <v xml:space="preserve">         # Biaya Pembelian air dari PDAM lain</v>
          </cell>
        </row>
        <row r="87">
          <cell r="A87" t="str">
            <v xml:space="preserve">         # Biaya Operasi Lainnya</v>
          </cell>
        </row>
        <row r="88">
          <cell r="A88" t="str">
            <v xml:space="preserve">   * JUMLAH BIAYA PENGOLAHAN</v>
          </cell>
        </row>
        <row r="89">
          <cell r="A89" t="str">
            <v xml:space="preserve">    * Biaya Transmisi &amp; Distribusi  :</v>
          </cell>
        </row>
        <row r="90">
          <cell r="A90" t="str">
            <v xml:space="preserve">       - Biaya Operasi Transmisi &amp; Distribusi  :</v>
          </cell>
        </row>
        <row r="91">
          <cell r="A91" t="str">
            <v xml:space="preserve">         # Biaya Tenaga Kerja</v>
          </cell>
        </row>
        <row r="92">
          <cell r="A92" t="str">
            <v xml:space="preserve">         # Biaya Listrik</v>
          </cell>
        </row>
        <row r="93">
          <cell r="A93" t="str">
            <v xml:space="preserve">         # Biaya Bahan Bakar</v>
          </cell>
        </row>
        <row r="94">
          <cell r="A94" t="str">
            <v xml:space="preserve">         # Biaya Pemakaian Bahan Perlengkapan</v>
          </cell>
        </row>
        <row r="95">
          <cell r="A95" t="str">
            <v xml:space="preserve">         # Biaya Pemeliharaan</v>
          </cell>
        </row>
        <row r="96">
          <cell r="A96" t="str">
            <v xml:space="preserve">         # Biaya Penyusutan</v>
          </cell>
        </row>
        <row r="97">
          <cell r="A97" t="str">
            <v xml:space="preserve">         # Biaya Operasi Lainnya</v>
          </cell>
        </row>
        <row r="98">
          <cell r="A98" t="str">
            <v xml:space="preserve">   * JUMLAH BIAYA TRANSMISI &amp; DISTRIBUSI</v>
          </cell>
        </row>
        <row r="99">
          <cell r="A99" t="str">
            <v xml:space="preserve">   * Biaya air Limbah/Kotor  :</v>
          </cell>
        </row>
        <row r="100">
          <cell r="A100" t="str">
            <v xml:space="preserve">         # Biaya Tenaga Kerja</v>
          </cell>
        </row>
        <row r="101">
          <cell r="A101" t="str">
            <v xml:space="preserve">         # Biaya Listrik</v>
          </cell>
        </row>
        <row r="102">
          <cell r="A102" t="str">
            <v xml:space="preserve">         # Biaya Bahan Bakar</v>
          </cell>
        </row>
        <row r="103">
          <cell r="A103" t="str">
            <v xml:space="preserve">         # Biaya Bahan kimia</v>
          </cell>
        </row>
        <row r="104">
          <cell r="A104" t="str">
            <v xml:space="preserve">         # Biaya laboratorium</v>
          </cell>
        </row>
        <row r="105">
          <cell r="A105" t="str">
            <v xml:space="preserve">         # Biaya Pemakaian Bahan Perlengkapan</v>
          </cell>
        </row>
        <row r="106">
          <cell r="A106" t="str">
            <v xml:space="preserve">         # Biaya Pemeliharaan</v>
          </cell>
        </row>
        <row r="107">
          <cell r="A107" t="str">
            <v xml:space="preserve">         # Biaya Penyusutan</v>
          </cell>
        </row>
        <row r="108">
          <cell r="A108" t="str">
            <v xml:space="preserve">         # Biaya Operasi Lainnya</v>
          </cell>
        </row>
        <row r="109">
          <cell r="A109" t="str">
            <v xml:space="preserve">   * JUMLAH BIAYA AIR LIMBAH</v>
          </cell>
        </row>
        <row r="110">
          <cell r="A110" t="str">
            <v xml:space="preserve">    *Biaya Umum &amp; Administrasi</v>
          </cell>
        </row>
        <row r="111">
          <cell r="A111" t="str">
            <v>-Biaya pegawai</v>
          </cell>
        </row>
        <row r="112">
          <cell r="A112" t="str">
            <v>-Biaya kantor</v>
          </cell>
        </row>
        <row r="113">
          <cell r="A113" t="str">
            <v>-Biaya langganan</v>
          </cell>
        </row>
        <row r="114">
          <cell r="A114" t="str">
            <v>-Biaya Listrik dan Bahan Bakar</v>
          </cell>
        </row>
        <row r="115">
          <cell r="A115" t="str">
            <v>-Biaya Pemeliharaan</v>
          </cell>
        </row>
        <row r="116">
          <cell r="A116" t="str">
            <v>-Biaya penelitian</v>
          </cell>
        </row>
        <row r="117">
          <cell r="A117" t="str">
            <v>-Biaya bunga pinjaman</v>
          </cell>
        </row>
        <row r="118">
          <cell r="A118" t="str">
            <v xml:space="preserve">  * Bunga Pinjaman</v>
          </cell>
        </row>
        <row r="119">
          <cell r="A119" t="str">
            <v xml:space="preserve">  * Denda </v>
          </cell>
        </row>
        <row r="120">
          <cell r="A120" t="str">
            <v xml:space="preserve">  * Kredit lainnya</v>
          </cell>
        </row>
        <row r="121">
          <cell r="A121" t="str">
            <v xml:space="preserve">  * Rupa rupa Keuangan</v>
          </cell>
        </row>
        <row r="122">
          <cell r="A122" t="str">
            <v>-Biaya penyisihan dan penghapusan piutang</v>
          </cell>
        </row>
        <row r="123">
          <cell r="A123" t="str">
            <v>-Biaya rupa-rupa umum &amp; Kolam Renang</v>
          </cell>
        </row>
        <row r="124">
          <cell r="A124" t="str">
            <v xml:space="preserve">-Biaya penyusutan </v>
          </cell>
        </row>
        <row r="125">
          <cell r="A125" t="str">
            <v>-Biaya amortisasi</v>
          </cell>
        </row>
        <row r="126">
          <cell r="A126" t="str">
            <v xml:space="preserve">   * JUMLAH BIAYA UMUM &amp; ADMINISTRASI</v>
          </cell>
        </row>
        <row r="129">
          <cell r="A129" t="str">
            <v>TOTAL BIAYA OPERASIONAL</v>
          </cell>
        </row>
        <row r="131">
          <cell r="A131" t="str">
            <v>RINGKASAN BIAYA OPERASIONAL</v>
          </cell>
        </row>
        <row r="132">
          <cell r="A132" t="str">
            <v>Tenaga Kerja</v>
          </cell>
        </row>
        <row r="133">
          <cell r="A133" t="str">
            <v xml:space="preserve"> Listrik dan Bahan Bakar</v>
          </cell>
        </row>
        <row r="134">
          <cell r="A134" t="str">
            <v xml:space="preserve"> Bahan Kimia dan Bahan Pembantu</v>
          </cell>
        </row>
        <row r="135">
          <cell r="A135" t="str">
            <v xml:space="preserve"> Pemeliharaan &amp; Biaya Bahan</v>
          </cell>
        </row>
        <row r="136">
          <cell r="A136" t="str">
            <v xml:space="preserve"> Biaya Operasi Langsung lainnya</v>
          </cell>
        </row>
        <row r="137">
          <cell r="A137" t="str">
            <v xml:space="preserve"> Administrasi &amp; Umum</v>
          </cell>
        </row>
        <row r="138">
          <cell r="A138" t="str">
            <v xml:space="preserve"> Penyusutan Aktiva Tetap</v>
          </cell>
        </row>
        <row r="139">
          <cell r="A139" t="str">
            <v xml:space="preserve"> Biaya Amortisasi</v>
          </cell>
        </row>
        <row r="140">
          <cell r="A140" t="str">
            <v xml:space="preserve"> Penyisihan Piutang</v>
          </cell>
        </row>
        <row r="141">
          <cell r="A141" t="str">
            <v xml:space="preserve"> Air Baku / Retribusi air / Pajak Air </v>
          </cell>
        </row>
        <row r="142">
          <cell r="A142" t="str">
            <v>Pembelian air dari PDAM lain</v>
          </cell>
        </row>
        <row r="144">
          <cell r="A144" t="str">
            <v>TOTAL BIAYA OPERASIONAL &amp; PENYUSUTAN</v>
          </cell>
        </row>
        <row r="145">
          <cell r="A145" t="str">
            <v>Biaya Bunga Pinjaman</v>
          </cell>
        </row>
        <row r="147">
          <cell r="A147" t="str">
            <v>TOTAL BIAYA OPERASIONAL &amp; BUNGA</v>
          </cell>
        </row>
        <row r="149">
          <cell r="A149" t="str">
            <v>Biaya Operasional</v>
          </cell>
        </row>
        <row r="150">
          <cell r="A150" t="str">
            <v>Biaya Non Operasional &amp; Kerugian Luar Biasa</v>
          </cell>
        </row>
        <row r="151">
          <cell r="A151" t="str">
            <v>Pajak Pendapatan &amp; Pajak Tangguhan</v>
          </cell>
        </row>
        <row r="153">
          <cell r="A153" t="str">
            <v>Total Biaya Operasional  + Pajak</v>
          </cell>
        </row>
        <row r="155">
          <cell r="A155" t="str">
            <v>Rugi/Laba Setelah Pajak</v>
          </cell>
        </row>
        <row r="157">
          <cell r="A157" t="str">
            <v>DATA LAIN-LAIN</v>
          </cell>
        </row>
        <row r="158">
          <cell r="A158" t="str">
            <v>Jumlah Penduduk Kota …….</v>
          </cell>
        </row>
        <row r="159">
          <cell r="A159" t="str">
            <v>Pertumbuhan penduduk / tahun</v>
          </cell>
        </row>
        <row r="160">
          <cell r="A160" t="str">
            <v>Upah Minimum Kab/Kota (UMK) / Bulan</v>
          </cell>
        </row>
        <row r="161">
          <cell r="A161" t="str">
            <v>Kenaikan Upah Minimum Kab/Kota (UMK) / tahun</v>
          </cell>
        </row>
        <row r="162">
          <cell r="A162" t="str">
            <v>Jumlah Jiwa per Rumah Tangga (RT)</v>
          </cell>
        </row>
        <row r="163">
          <cell r="A163" t="str">
            <v>Jumlah Penduduk terlayani</v>
          </cell>
        </row>
        <row r="164">
          <cell r="A164" t="str">
            <v>Cakupan Pelayanan</v>
          </cell>
        </row>
        <row r="165">
          <cell r="A165" t="str">
            <v>Jumlah air di Produksi  (000 m3)</v>
          </cell>
        </row>
        <row r="166">
          <cell r="A166" t="str">
            <v>Jumlah air di ditribusi  (000 m3)</v>
          </cell>
        </row>
        <row r="167">
          <cell r="A167" t="str">
            <v>Kapasitas Produksi terpasang (l/detik)</v>
          </cell>
        </row>
        <row r="168">
          <cell r="A168" t="str">
            <v>Kapasitas Produksi operasi (l/detik)</v>
          </cell>
        </row>
        <row r="169">
          <cell r="A169" t="str">
            <v>% Kapasitas Produksi Operasi</v>
          </cell>
        </row>
        <row r="170">
          <cell r="A170" t="str">
            <v>Pembelian Air Olahan (000 m3)</v>
          </cell>
        </row>
        <row r="171">
          <cell r="A171" t="str">
            <v>Kapasitas Pembelian air olahan (l/detik)</v>
          </cell>
        </row>
        <row r="172">
          <cell r="A172" t="str">
            <v>Penjualan Air (000 m3)</v>
          </cell>
        </row>
        <row r="173">
          <cell r="A173" t="str">
            <v>- Domestik (RT)</v>
          </cell>
        </row>
        <row r="174">
          <cell r="A174" t="str">
            <v>- Non Domestik (Industri &amp; Usaha)</v>
          </cell>
        </row>
        <row r="175">
          <cell r="A175" t="str">
            <v>- Kran Umum</v>
          </cell>
        </row>
        <row r="176">
          <cell r="A176" t="str">
            <v>- Sosial</v>
          </cell>
        </row>
        <row r="177">
          <cell r="A177" t="str">
            <v xml:space="preserve"> Pendapatan Penjualan Air (Harga Air - Rp.000)</v>
          </cell>
        </row>
        <row r="178">
          <cell r="A178" t="str">
            <v>- Domestik (RT)</v>
          </cell>
        </row>
        <row r="179">
          <cell r="A179" t="str">
            <v>- Non Domestik (Industri, Usaha, Inst Pemerintah,dll)</v>
          </cell>
        </row>
        <row r="180">
          <cell r="A180" t="str">
            <v>- Kran Umum</v>
          </cell>
        </row>
        <row r="181">
          <cell r="A181" t="str">
            <v>- Sosial</v>
          </cell>
        </row>
        <row r="182">
          <cell r="A182" t="str">
            <v>Jumlah Sambungan Langganan Awal (Aktiv+Non Aktiv)</v>
          </cell>
        </row>
        <row r="183">
          <cell r="A183" t="str">
            <v>- Aktif</v>
          </cell>
        </row>
        <row r="184">
          <cell r="A184" t="str">
            <v>- Non Aktif</v>
          </cell>
        </row>
        <row r="185">
          <cell r="A185" t="str">
            <v>Jumlah Sambungan Langganan awal- Aktif</v>
          </cell>
        </row>
        <row r="186">
          <cell r="A186" t="str">
            <v>Jumlah Sambungan Langganan akhir</v>
          </cell>
        </row>
        <row r="187">
          <cell r="A187" t="str">
            <v>- Domestik (RT)</v>
          </cell>
        </row>
        <row r="188">
          <cell r="A188" t="str">
            <v>- Non Domestik (Industri, Usaha, Inst Pemerintah,dll)</v>
          </cell>
        </row>
        <row r="189">
          <cell r="A189" t="str">
            <v>- Kran Umum</v>
          </cell>
        </row>
        <row r="190">
          <cell r="A190" t="str">
            <v>- Sosial</v>
          </cell>
        </row>
        <row r="191">
          <cell r="A191" t="str">
            <v xml:space="preserve"> Jumlah Penambahan Sambungan Baru</v>
          </cell>
        </row>
        <row r="192">
          <cell r="A192" t="str">
            <v xml:space="preserve"> Kenaikan / (Penurunan) Jumlah Sambungan</v>
          </cell>
        </row>
        <row r="193">
          <cell r="A193" t="str">
            <v xml:space="preserve"> Selisih belum direkeningkan/penyambungan kembali/penutupan</v>
          </cell>
        </row>
        <row r="194">
          <cell r="A194" t="str">
            <v>Jumlah Karyawan</v>
          </cell>
        </row>
        <row r="195">
          <cell r="A195" t="str">
            <v xml:space="preserve"> Tarip Dasar ( Tarip RT terendah) 0 - 10 m3</v>
          </cell>
        </row>
        <row r="196">
          <cell r="A196" t="str">
            <v xml:space="preserve"> Harga air rata-rata Rp./m3</v>
          </cell>
        </row>
        <row r="197">
          <cell r="A197" t="str">
            <v xml:space="preserve"> Domestik(RT) </v>
          </cell>
        </row>
        <row r="198">
          <cell r="A198" t="str">
            <v>Non Domestik (Industri ,Usaha,lainnya )</v>
          </cell>
        </row>
        <row r="199">
          <cell r="A199" t="str">
            <v xml:space="preserve"> Sosial &amp; Kran Umum</v>
          </cell>
        </row>
        <row r="200">
          <cell r="A200" t="str">
            <v>Koefisen faktor tarip rata-rata</v>
          </cell>
        </row>
        <row r="201">
          <cell r="A201" t="str">
            <v xml:space="preserve"> Domestik(RT) </v>
          </cell>
        </row>
        <row r="202">
          <cell r="A202" t="str">
            <v>Non Domestik (Industri ,Usaha,lainnya )</v>
          </cell>
        </row>
        <row r="203">
          <cell r="A203" t="str">
            <v xml:space="preserve"> Sosial &amp; Kran Umum</v>
          </cell>
        </row>
        <row r="206">
          <cell r="A206" t="str">
            <v>Rasio Kas</v>
          </cell>
        </row>
        <row r="207">
          <cell r="A207" t="str">
            <v>Rasio Lancar</v>
          </cell>
        </row>
        <row r="208">
          <cell r="A208" t="str">
            <v>Rasio Hutang</v>
          </cell>
        </row>
        <row r="210">
          <cell r="A210" t="str">
            <v>Debt to total Assets</v>
          </cell>
        </row>
        <row r="211">
          <cell r="A211" t="str">
            <v>Operating Ratio</v>
          </cell>
        </row>
        <row r="212">
          <cell r="A212" t="str">
            <v>Pendpat thd ht.jangka panjang</v>
          </cell>
        </row>
        <row r="213">
          <cell r="A213" t="str">
            <v xml:space="preserve">Kas terhadap pendapatan </v>
          </cell>
        </row>
        <row r="214">
          <cell r="A214" t="str">
            <v xml:space="preserve">Harga air </v>
          </cell>
        </row>
        <row r="215">
          <cell r="A215" t="str">
            <v>Rata-rata Biaya</v>
          </cell>
        </row>
        <row r="216">
          <cell r="A216" t="str">
            <v>Biaya FCR</v>
          </cell>
        </row>
        <row r="217">
          <cell r="A217" t="str">
            <v>% Kecukupan</v>
          </cell>
        </row>
        <row r="218">
          <cell r="A218" t="str">
            <v>Rata-rata pemakain air / SL</v>
          </cell>
        </row>
        <row r="220">
          <cell r="A220" t="str">
            <v>Kebocoran air</v>
          </cell>
        </row>
        <row r="221">
          <cell r="A221" t="str">
            <v>Kecepatan Penagihan</v>
          </cell>
        </row>
        <row r="222">
          <cell r="A222" t="str">
            <v>Kenaikan tarif</v>
          </cell>
        </row>
        <row r="223">
          <cell r="A223" t="str">
            <v>Efektivitas Jam Operasi</v>
          </cell>
        </row>
        <row r="226">
          <cell r="A226" t="str">
            <v>Struktur Pelanggan</v>
          </cell>
        </row>
        <row r="227">
          <cell r="A227" t="str">
            <v>Niaga</v>
          </cell>
        </row>
        <row r="228">
          <cell r="A228" t="str">
            <v>Non Niaga</v>
          </cell>
        </row>
        <row r="229">
          <cell r="A229" t="str">
            <v>Sosial</v>
          </cell>
        </row>
        <row r="231">
          <cell r="A231" t="str">
            <v>Pegawai per 1000 pelanggan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EX-MultipleFull"/>
      <sheetName val="BOHOL DEMAND PROJECTION"/>
      <sheetName val="BULKWATER CAPEX &amp; OPEX"/>
      <sheetName val="CAPEX bulk 60mld max pipe"/>
      <sheetName val="Opex bulk"/>
      <sheetName val="CAPEX dist total"/>
      <sheetName val="CAPEX dist summation"/>
      <sheetName val="Albur CAPEX &amp; OPEX"/>
      <sheetName val="CAPEX dist Albur"/>
      <sheetName val="Baclayon CAPEX &amp; OPEX "/>
      <sheetName val="CAPEX dist Baclayon"/>
      <sheetName val="CAPEX dist Corella"/>
      <sheetName val="CAPEX dist Dauis"/>
      <sheetName val="CAPEX dist Loboc"/>
      <sheetName val="Panglao CAPEX &amp; OPEX"/>
      <sheetName val="Tagbilaran CAPEX &amp; OPEX"/>
      <sheetName val="CAPEX dist Sikatuna"/>
      <sheetName val="CAPEX dist Tagbilaran"/>
      <sheetName val="OPEX-MultipleFull"/>
      <sheetName val="Stub-out"/>
    </sheetNames>
    <sheetDataSet>
      <sheetData sheetId="0"/>
      <sheetData sheetId="1">
        <row r="582">
          <cell r="S582">
            <v>9.120815150474602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4">
          <cell r="G14">
            <v>5000000</v>
          </cell>
        </row>
        <row r="29">
          <cell r="G29">
            <v>11028500</v>
          </cell>
        </row>
        <row r="32">
          <cell r="G32">
            <v>600000</v>
          </cell>
        </row>
        <row r="44">
          <cell r="G44">
            <v>54314706.902932428</v>
          </cell>
        </row>
        <row r="45">
          <cell r="G45">
            <v>24543511.049334824</v>
          </cell>
        </row>
        <row r="46">
          <cell r="G46">
            <v>7353388.1921149446</v>
          </cell>
        </row>
        <row r="47">
          <cell r="G47">
            <v>49624423.624315254</v>
          </cell>
        </row>
        <row r="56">
          <cell r="G56">
            <v>6000000</v>
          </cell>
        </row>
        <row r="58">
          <cell r="G58">
            <v>4912500</v>
          </cell>
        </row>
        <row r="61">
          <cell r="G61">
            <v>6000000</v>
          </cell>
        </row>
        <row r="66">
          <cell r="G66">
            <v>27000000</v>
          </cell>
        </row>
        <row r="68">
          <cell r="G68">
            <v>4070000</v>
          </cell>
        </row>
        <row r="70">
          <cell r="G70">
            <v>166762608.31991068</v>
          </cell>
        </row>
        <row r="90">
          <cell r="G90">
            <v>23846746.23646247</v>
          </cell>
        </row>
        <row r="92">
          <cell r="G92">
            <v>25115824.799189664</v>
          </cell>
        </row>
        <row r="93">
          <cell r="G93">
            <v>25115824.799189664</v>
          </cell>
        </row>
        <row r="94">
          <cell r="G94">
            <v>3942285.4448275836</v>
          </cell>
        </row>
      </sheetData>
      <sheetData sheetId="18"/>
      <sheetData sheetId="19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UIS CAPEX&amp;OPEX_realistic "/>
      <sheetName val="Albur CAPEX&amp;OPEX_realistic "/>
      <sheetName val="Tagbilaran CAPEX&amp;OPEX_realistic"/>
      <sheetName val="CAPEX dist Panglao"/>
      <sheetName val="CAPEX dist Tagbilaran"/>
      <sheetName val="Panglao CAPEX &amp; OPEX_Optimistic"/>
      <sheetName val="Tagbilaran CAPEX&amp;OPEX_optimisti"/>
      <sheetName val="CAPEX dist Dauis"/>
      <sheetName val="CAPEX dist Albur"/>
      <sheetName val="UnitPrices"/>
      <sheetName val="Panglao Production Computations"/>
      <sheetName val="Tagbilaran Prod"/>
    </sheetNames>
    <sheetDataSet>
      <sheetData sheetId="0"/>
      <sheetData sheetId="1"/>
      <sheetData sheetId="2"/>
      <sheetData sheetId="3"/>
      <sheetData sheetId="4">
        <row r="42">
          <cell r="O42">
            <v>28267879.271385595</v>
          </cell>
        </row>
        <row r="43">
          <cell r="O43">
            <v>36291863.368807204</v>
          </cell>
        </row>
        <row r="48">
          <cell r="H48">
            <v>10063039.480149094</v>
          </cell>
        </row>
        <row r="49">
          <cell r="H49">
            <v>49791065.809761643</v>
          </cell>
        </row>
        <row r="50">
          <cell r="H50">
            <v>3686373.2143935976</v>
          </cell>
        </row>
        <row r="51">
          <cell r="H51">
            <v>1843186.6071967988</v>
          </cell>
        </row>
        <row r="52">
          <cell r="H52">
            <v>13669071.878971457</v>
          </cell>
        </row>
        <row r="95">
          <cell r="H95">
            <v>556490431.02700019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HOL SUMMARY"/>
      <sheetName val="Alburquerque"/>
      <sheetName val="Baclayon"/>
      <sheetName val="Corella"/>
      <sheetName val="Dauis"/>
      <sheetName val="Loboc"/>
      <sheetName val="Panglao"/>
      <sheetName val="Sikatuna"/>
      <sheetName val="Tagbilaran"/>
      <sheetName val="Tourist Demand"/>
      <sheetName val="Other WSPs"/>
      <sheetName val="NRW summary"/>
      <sheetName val="Avecons"/>
    </sheetNames>
    <sheetDataSet>
      <sheetData sheetId="0"/>
      <sheetData sheetId="1">
        <row r="583">
          <cell r="S583">
            <v>1.6525825028876555</v>
          </cell>
        </row>
      </sheetData>
      <sheetData sheetId="2"/>
      <sheetData sheetId="3"/>
      <sheetData sheetId="4">
        <row r="583">
          <cell r="S583">
            <v>2.8573412255676969</v>
          </cell>
        </row>
      </sheetData>
      <sheetData sheetId="5"/>
      <sheetData sheetId="6">
        <row r="583">
          <cell r="S583">
            <v>8.4963848883628899</v>
          </cell>
        </row>
      </sheetData>
      <sheetData sheetId="7"/>
      <sheetData sheetId="8">
        <row r="590">
          <cell r="S590">
            <v>18.327973648990302</v>
          </cell>
          <cell r="T590">
            <v>15.57538598507475</v>
          </cell>
          <cell r="U590">
            <v>15.764363107603913</v>
          </cell>
          <cell r="V590">
            <v>15.956695099853768</v>
          </cell>
          <cell r="W590">
            <v>16.152471853372727</v>
          </cell>
          <cell r="X590">
            <v>16.350148723775085</v>
          </cell>
          <cell r="Y590">
            <v>16.534510596459857</v>
          </cell>
          <cell r="Z590">
            <v>16.722056302404255</v>
          </cell>
          <cell r="AA590">
            <v>16.912882423135077</v>
          </cell>
          <cell r="AB590">
            <v>17.107091170385342</v>
          </cell>
          <cell r="AC590">
            <v>16.221613094274705</v>
          </cell>
          <cell r="AD590">
            <v>16.393817934530336</v>
          </cell>
          <cell r="AE590">
            <v>16.569175052938284</v>
          </cell>
          <cell r="AF590">
            <v>16.747803824532603</v>
          </cell>
          <cell r="AG590">
            <v>16.929831685750404</v>
          </cell>
          <cell r="AH590">
            <v>17.115394790471882</v>
          </cell>
          <cell r="AI590">
            <v>17.304638721749143</v>
          </cell>
          <cell r="AJ590">
            <v>17.497719263999439</v>
          </cell>
          <cell r="AK590">
            <v>17.694803240847961</v>
          </cell>
          <cell r="AL590">
            <v>17.896069424252055</v>
          </cell>
          <cell r="AM590">
            <v>18.101709521022762</v>
          </cell>
          <cell r="AN590">
            <v>18.311929243385435</v>
          </cell>
          <cell r="AO590">
            <v>18.526949470792459</v>
          </cell>
          <cell r="AP590">
            <v>18.747007510822122</v>
          </cell>
          <cell r="AQ590">
            <v>18.972358467670205</v>
          </cell>
          <cell r="AR590">
            <v>19.1813490758407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UIDE SHEET"/>
      <sheetName val="INPUT DATA"/>
      <sheetName val="BOHOL DEMAND PROJECTION"/>
      <sheetName val="Albur CAPEX&amp;OPEX_realistic "/>
      <sheetName val="DAUIS CAPEX&amp;OPEX_realistic "/>
      <sheetName val="Tagbilaran CAPEX &amp; OPEX "/>
      <sheetName val="Panglao CAPEX &amp; OPEX "/>
      <sheetName val="Tagbilaran CAPEX&amp;OPEX_realistic"/>
      <sheetName val="Panglao CAPEX &amp; OPEX_realistic"/>
      <sheetName val="TARIFF CALC"/>
      <sheetName val="OPEX"/>
      <sheetName val="AMORT SCHEDULE"/>
      <sheetName val="DEPRCTN SCH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7">
          <cell r="P7">
            <v>0</v>
          </cell>
        </row>
        <row r="9">
          <cell r="E9">
            <v>0</v>
          </cell>
          <cell r="F9">
            <v>0</v>
          </cell>
          <cell r="G9">
            <v>0</v>
          </cell>
          <cell r="N9">
            <v>0</v>
          </cell>
          <cell r="P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N10">
            <v>0</v>
          </cell>
          <cell r="O10">
            <v>0</v>
          </cell>
          <cell r="P10">
            <v>0</v>
          </cell>
        </row>
      </sheetData>
      <sheetData sheetId="10"/>
      <sheetData sheetId="11"/>
      <sheetData sheetId="1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hristian henry lacson" id="{CE297A0B-3E78-C249-8BDD-D4694303749B}" userId="d3b60cfb19fa538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2" dT="2025-10-26T05:30:46.71" personId="{CE297A0B-3E78-C249-8BDD-D4694303749B}" id="{FD41CE91-D9BE-EA47-BC2F-D2D0127FDB73}">
    <text>60% is allocated for replacements</text>
  </threadedComment>
  <threadedComment ref="D42" dT="2025-10-26T05:30:46.71" personId="{CE297A0B-3E78-C249-8BDD-D4694303749B}" id="{A5C7F2BD-D9F7-2E42-95BA-BF1B5D026E0D}">
    <text>60% is allocated for replacements</text>
  </threadedComment>
  <threadedComment ref="M46" dT="2025-10-22T12:54:28.84" personId="{CE297A0B-3E78-C249-8BDD-D4694303749B}" id="{3978329D-0DA1-AE41-8F8F-4055DE07DD43}">
    <text>1000m3 capacity</text>
  </threadedComment>
  <threadedComment ref="D49" dT="2025-10-22T12:55:20.98" personId="{CE297A0B-3E78-C249-8BDD-D4694303749B}" id="{1CD0F11A-9406-1749-8D4D-497B50ED4DDE}">
    <text>Flow and pressure loggers, correlator</text>
  </threadedComment>
  <threadedComment ref="E50" dT="2025-10-22T12:49:45.18" personId="{CE297A0B-3E78-C249-8BDD-D4694303749B}" id="{9727BE7B-53CA-8546-879A-7FD7FDFB6D52}">
    <text>13 DMA’s initial</text>
  </threadedComment>
  <threadedComment ref="D51" dT="2025-10-22T12:54:59.03" personId="{CE297A0B-3E78-C249-8BDD-D4694303749B}" id="{E779EB1D-B638-754C-9BA7-B75498076A1E}">
    <text>Outsourced consultant, watergems or watercadd format</text>
  </threadedComment>
  <threadedComment ref="M61" dT="2025-10-22T12:36:50.82" personId="{CE297A0B-3E78-C249-8BDD-D4694303749B}" id="{BFC58C56-0BCA-154B-BBE2-1CC7552EDB95}">
    <text>SCADA CONNECT/Tanks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74562-979B-0848-8EAD-039E3DEE05EA}">
  <dimension ref="A2:L22"/>
  <sheetViews>
    <sheetView tabSelected="1" workbookViewId="0">
      <selection activeCell="G35" sqref="G35"/>
    </sheetView>
  </sheetViews>
  <sheetFormatPr baseColWidth="10" defaultRowHeight="15" x14ac:dyDescent="0.2"/>
  <cols>
    <col min="6" max="6" width="14" customWidth="1"/>
    <col min="10" max="10" width="12.6640625" customWidth="1"/>
  </cols>
  <sheetData>
    <row r="2" spans="1:12" x14ac:dyDescent="0.2">
      <c r="E2" t="s">
        <v>368</v>
      </c>
    </row>
    <row r="3" spans="1:12" x14ac:dyDescent="0.2">
      <c r="B3" t="s">
        <v>340</v>
      </c>
      <c r="E3" t="s">
        <v>369</v>
      </c>
      <c r="H3" s="408" t="s">
        <v>366</v>
      </c>
      <c r="I3" s="408"/>
      <c r="K3" s="408" t="s">
        <v>367</v>
      </c>
      <c r="L3" s="408"/>
    </row>
    <row r="6" spans="1:12" x14ac:dyDescent="0.2">
      <c r="A6" t="s">
        <v>135</v>
      </c>
    </row>
    <row r="9" spans="1:12" x14ac:dyDescent="0.2">
      <c r="B9" s="383" t="s">
        <v>335</v>
      </c>
      <c r="C9" s="383"/>
      <c r="H9" s="384" t="s">
        <v>90</v>
      </c>
    </row>
    <row r="10" spans="1:12" ht="5" customHeight="1" x14ac:dyDescent="0.2"/>
    <row r="11" spans="1:12" x14ac:dyDescent="0.2">
      <c r="B11" s="383" t="s">
        <v>0</v>
      </c>
      <c r="C11" s="383"/>
      <c r="E11" s="376" t="s">
        <v>336</v>
      </c>
      <c r="F11" s="376"/>
      <c r="H11" s="384" t="s">
        <v>338</v>
      </c>
      <c r="I11" s="384"/>
      <c r="K11" s="385" t="s">
        <v>339</v>
      </c>
      <c r="L11" s="385"/>
    </row>
    <row r="12" spans="1:12" ht="5" customHeight="1" x14ac:dyDescent="0.2"/>
    <row r="13" spans="1:12" x14ac:dyDescent="0.2">
      <c r="B13" s="383" t="s">
        <v>90</v>
      </c>
      <c r="C13" s="383"/>
      <c r="H13" s="384" t="s">
        <v>337</v>
      </c>
      <c r="I13" s="384"/>
    </row>
    <row r="18" spans="2:11" ht="16" x14ac:dyDescent="0.2">
      <c r="D18" s="403" t="s">
        <v>90</v>
      </c>
      <c r="E18" s="403"/>
    </row>
    <row r="19" spans="2:11" ht="16" x14ac:dyDescent="0.2">
      <c r="B19" t="s">
        <v>135</v>
      </c>
      <c r="D19" s="403" t="s">
        <v>151</v>
      </c>
      <c r="E19" s="403"/>
    </row>
    <row r="20" spans="2:11" ht="16" x14ac:dyDescent="0.2">
      <c r="D20" s="403" t="s">
        <v>372</v>
      </c>
      <c r="E20" s="403"/>
      <c r="H20" s="403" t="s">
        <v>371</v>
      </c>
      <c r="K20" s="403" t="s">
        <v>374</v>
      </c>
    </row>
    <row r="21" spans="2:11" ht="16" x14ac:dyDescent="0.2">
      <c r="D21" s="403" t="s">
        <v>373</v>
      </c>
      <c r="E21" s="403"/>
    </row>
    <row r="22" spans="2:11" ht="16" x14ac:dyDescent="0.2">
      <c r="D22" s="403" t="s">
        <v>375</v>
      </c>
      <c r="E22" s="403"/>
    </row>
  </sheetData>
  <mergeCells count="2">
    <mergeCell ref="H3:I3"/>
    <mergeCell ref="K3:L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D2A79-5C05-A345-96B5-3EEE35839743}">
  <sheetPr>
    <tabColor theme="9" tint="0.39997558519241921"/>
  </sheetPr>
  <dimension ref="A2:AR593"/>
  <sheetViews>
    <sheetView topLeftCell="A315" workbookViewId="0">
      <selection activeCell="T589" sqref="T589"/>
    </sheetView>
  </sheetViews>
  <sheetFormatPr baseColWidth="10" defaultColWidth="10.6640625" defaultRowHeight="16" x14ac:dyDescent="0.2"/>
  <cols>
    <col min="1" max="1" width="8.6640625" style="137" customWidth="1"/>
    <col min="2" max="6" width="10.6640625" style="137" customWidth="1"/>
    <col min="7" max="7" width="10.6640625" style="137" hidden="1" customWidth="1"/>
    <col min="8" max="8" width="10.83203125" style="137" hidden="1" customWidth="1"/>
    <col min="9" max="13" width="10.6640625" style="137" hidden="1" customWidth="1"/>
    <col min="14" max="18" width="11.5" style="137" hidden="1" customWidth="1"/>
    <col min="19" max="19" width="14" style="137" bestFit="1" customWidth="1"/>
    <col min="20" max="28" width="11.5" style="137" bestFit="1" customWidth="1"/>
    <col min="29" max="29" width="14" style="137" bestFit="1" customWidth="1"/>
    <col min="30" max="38" width="11.5" style="137" bestFit="1" customWidth="1"/>
    <col min="39" max="44" width="11.83203125" style="137" bestFit="1" customWidth="1"/>
    <col min="45" max="16384" width="10.6640625" style="137"/>
  </cols>
  <sheetData>
    <row r="2" spans="1:44" ht="24" x14ac:dyDescent="0.3">
      <c r="B2" s="138" t="s">
        <v>216</v>
      </c>
    </row>
    <row r="4" spans="1:44" x14ac:dyDescent="0.2">
      <c r="B4" s="139"/>
      <c r="C4" s="140" t="s">
        <v>217</v>
      </c>
      <c r="D4" s="141"/>
      <c r="E4" s="140"/>
      <c r="F4" s="140"/>
      <c r="G4" s="142"/>
      <c r="H4" s="142"/>
      <c r="I4" s="139"/>
      <c r="J4" s="139"/>
      <c r="K4" s="139"/>
      <c r="L4" s="143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0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</row>
    <row r="5" spans="1:44" x14ac:dyDescent="0.2">
      <c r="A5" s="145"/>
      <c r="B5" s="146"/>
      <c r="C5" s="146" t="s">
        <v>218</v>
      </c>
      <c r="D5" s="147" t="s">
        <v>219</v>
      </c>
      <c r="E5" s="146"/>
      <c r="F5" s="146"/>
      <c r="G5" s="148">
        <v>2019</v>
      </c>
      <c r="H5" s="148">
        <v>2020</v>
      </c>
      <c r="I5" s="148">
        <v>2021</v>
      </c>
      <c r="J5" s="148">
        <v>2022</v>
      </c>
      <c r="K5" s="148">
        <v>2023</v>
      </c>
      <c r="L5" s="149">
        <v>45352</v>
      </c>
      <c r="M5" s="148">
        <v>2024</v>
      </c>
      <c r="N5" s="146">
        <v>2025</v>
      </c>
      <c r="O5" s="146">
        <v>2026</v>
      </c>
      <c r="P5" s="146">
        <v>2027</v>
      </c>
      <c r="Q5" s="146">
        <v>2028</v>
      </c>
      <c r="R5" s="146">
        <v>2029</v>
      </c>
      <c r="S5" s="146">
        <v>2030</v>
      </c>
      <c r="T5" s="146">
        <v>2031</v>
      </c>
      <c r="U5" s="146">
        <v>2032</v>
      </c>
      <c r="V5" s="146">
        <v>2033</v>
      </c>
      <c r="W5" s="146">
        <v>2034</v>
      </c>
      <c r="X5" s="146">
        <v>2035</v>
      </c>
      <c r="Y5" s="146">
        <v>2036</v>
      </c>
      <c r="Z5" s="146">
        <v>2037</v>
      </c>
      <c r="AA5" s="146">
        <v>2038</v>
      </c>
      <c r="AB5" s="146">
        <v>2039</v>
      </c>
      <c r="AC5" s="146">
        <v>2040</v>
      </c>
      <c r="AD5" s="146">
        <v>2041</v>
      </c>
      <c r="AE5" s="146">
        <v>2042</v>
      </c>
      <c r="AF5" s="146">
        <v>2043</v>
      </c>
      <c r="AG5" s="146">
        <v>2044</v>
      </c>
      <c r="AH5" s="146">
        <v>2045</v>
      </c>
      <c r="AI5" s="146">
        <v>2046</v>
      </c>
      <c r="AJ5" s="146">
        <v>2047</v>
      </c>
      <c r="AK5" s="146">
        <v>2048</v>
      </c>
      <c r="AL5" s="146">
        <v>2049</v>
      </c>
      <c r="AM5" s="146">
        <v>2050</v>
      </c>
      <c r="AN5" s="146">
        <v>2051</v>
      </c>
      <c r="AO5" s="146">
        <v>2052</v>
      </c>
      <c r="AP5" s="146">
        <v>2053</v>
      </c>
      <c r="AQ5" s="146">
        <v>2054</v>
      </c>
      <c r="AR5" s="146">
        <v>2055</v>
      </c>
    </row>
    <row r="6" spans="1:44" x14ac:dyDescent="0.2">
      <c r="B6" s="150"/>
      <c r="C6" s="150"/>
      <c r="D6" s="151"/>
      <c r="E6" s="150"/>
      <c r="F6" s="150"/>
      <c r="G6" s="152"/>
      <c r="H6" s="152"/>
      <c r="I6" s="152"/>
      <c r="J6" s="152"/>
      <c r="K6" s="152"/>
      <c r="L6" s="153"/>
      <c r="M6" s="152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50"/>
      <c r="AC6" s="150"/>
      <c r="AD6" s="150"/>
      <c r="AE6" s="150"/>
      <c r="AF6" s="150"/>
      <c r="AG6" s="150"/>
      <c r="AH6" s="150"/>
      <c r="AI6" s="150"/>
      <c r="AJ6" s="150"/>
      <c r="AK6" s="150"/>
      <c r="AL6" s="150"/>
      <c r="AM6" s="150"/>
      <c r="AN6" s="150"/>
      <c r="AO6" s="150"/>
      <c r="AP6" s="150"/>
      <c r="AQ6" s="150"/>
      <c r="AR6" s="150"/>
    </row>
    <row r="7" spans="1:44" x14ac:dyDescent="0.2">
      <c r="B7" s="150"/>
      <c r="C7" s="150"/>
      <c r="D7" s="151"/>
      <c r="E7" s="150"/>
      <c r="F7" s="150"/>
      <c r="G7" s="152"/>
      <c r="H7" s="152"/>
      <c r="I7" s="152"/>
      <c r="J7" s="152"/>
      <c r="K7" s="152"/>
      <c r="L7" s="153"/>
      <c r="M7" s="152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</row>
    <row r="8" spans="1:44" x14ac:dyDescent="0.2">
      <c r="B8" s="154">
        <v>1</v>
      </c>
      <c r="C8" s="137" t="s">
        <v>220</v>
      </c>
      <c r="D8" s="155" t="s">
        <v>221</v>
      </c>
      <c r="G8" s="156"/>
      <c r="H8" s="156">
        <v>11246</v>
      </c>
      <c r="I8" s="156">
        <v>11438.447696248204</v>
      </c>
      <c r="J8" s="156">
        <v>11634.188662618344</v>
      </c>
      <c r="K8" s="156">
        <v>11833.279255348014</v>
      </c>
      <c r="L8" s="156">
        <v>12035.776795073554</v>
      </c>
      <c r="M8" s="156">
        <v>12035.776795073554</v>
      </c>
      <c r="N8" s="156">
        <v>12241.739583333334</v>
      </c>
      <c r="O8" s="156">
        <v>12437.213576351451</v>
      </c>
      <c r="P8" s="156">
        <v>12635.808864483406</v>
      </c>
      <c r="Q8" s="156">
        <v>12837.575288032969</v>
      </c>
      <c r="R8" s="156">
        <v>13042.563483145284</v>
      </c>
      <c r="S8" s="156">
        <v>13250.82489451477</v>
      </c>
      <c r="T8" s="156">
        <v>13446.201764198342</v>
      </c>
      <c r="U8" s="156">
        <v>13644.459369346407</v>
      </c>
      <c r="V8" s="156">
        <v>13845.640184980844</v>
      </c>
      <c r="W8" s="156">
        <v>14049.787312396773</v>
      </c>
      <c r="X8" s="156">
        <v>14256.944488396624</v>
      </c>
      <c r="Y8" s="156">
        <v>14446.955925332044</v>
      </c>
      <c r="Z8" s="156">
        <v>14639.499766472007</v>
      </c>
      <c r="AA8" s="156">
        <v>14834.609762790438</v>
      </c>
      <c r="AB8" s="156">
        <v>15032.320115082135</v>
      </c>
      <c r="AC8" s="156">
        <v>15232.665479957806</v>
      </c>
      <c r="AD8" s="156">
        <v>15418.899587445161</v>
      </c>
      <c r="AE8" s="156">
        <v>15607.410587498514</v>
      </c>
      <c r="AF8" s="156">
        <v>15798.226317337512</v>
      </c>
      <c r="AG8" s="156">
        <v>15991.374954518822</v>
      </c>
      <c r="AH8" s="156">
        <v>16186.885021097045</v>
      </c>
      <c r="AI8" s="156">
        <v>16384.785387836593</v>
      </c>
      <c r="AJ8" s="156">
        <v>16585.105278474934</v>
      </c>
      <c r="AK8" s="156">
        <v>16787.874274038091</v>
      </c>
      <c r="AL8" s="156">
        <v>16993.12231720881</v>
      </c>
      <c r="AM8" s="156">
        <v>17200.879716748157</v>
      </c>
      <c r="AN8" s="156">
        <v>17411.177151971209</v>
      </c>
      <c r="AO8" s="156">
        <v>17624.045677277441</v>
      </c>
      <c r="AP8" s="156">
        <v>17839.516726736427</v>
      </c>
      <c r="AQ8" s="156">
        <v>18057.622118729756</v>
      </c>
      <c r="AR8" s="156">
        <v>18278.394060649596</v>
      </c>
    </row>
    <row r="9" spans="1:44" x14ac:dyDescent="0.2">
      <c r="B9" s="154">
        <v>2</v>
      </c>
      <c r="C9" s="137" t="s">
        <v>222</v>
      </c>
      <c r="D9" s="155" t="s">
        <v>223</v>
      </c>
      <c r="G9" s="156"/>
      <c r="H9" s="156">
        <v>22461</v>
      </c>
      <c r="I9" s="156">
        <v>22845.36490355957</v>
      </c>
      <c r="J9" s="156">
        <v>23236.307269346493</v>
      </c>
      <c r="K9" s="156">
        <v>23633.939654487975</v>
      </c>
      <c r="L9" s="156">
        <v>24038.376542250324</v>
      </c>
      <c r="M9" s="156">
        <v>24038.376542250324</v>
      </c>
      <c r="N9" s="156">
        <v>24449.734375000004</v>
      </c>
      <c r="O9" s="156">
        <v>24840.143530004443</v>
      </c>
      <c r="P9" s="156">
        <v>25236.786671275291</v>
      </c>
      <c r="Q9" s="156">
        <v>25639.763342033482</v>
      </c>
      <c r="R9" s="156">
        <v>26049.174674988997</v>
      </c>
      <c r="S9" s="156">
        <v>26465.123417721523</v>
      </c>
      <c r="T9" s="156">
        <v>26855.338593780816</v>
      </c>
      <c r="U9" s="156">
        <v>27251.307299919052</v>
      </c>
      <c r="V9" s="156">
        <v>27653.114369096114</v>
      </c>
      <c r="W9" s="156">
        <v>28060.845885091949</v>
      </c>
      <c r="X9" s="156">
        <v>28474.589200949365</v>
      </c>
      <c r="Y9" s="156">
        <v>28854.088301519045</v>
      </c>
      <c r="Z9" s="156">
        <v>29238.645229835296</v>
      </c>
      <c r="AA9" s="156">
        <v>29628.327394810247</v>
      </c>
      <c r="AB9" s="156">
        <v>30023.203103757769</v>
      </c>
      <c r="AC9" s="156">
        <v>30423.341574367092</v>
      </c>
      <c r="AD9" s="156">
        <v>30795.296428383946</v>
      </c>
      <c r="AE9" s="156">
        <v>31171.798791197238</v>
      </c>
      <c r="AF9" s="156">
        <v>31552.904260511998</v>
      </c>
      <c r="AG9" s="156">
        <v>31938.669113769098</v>
      </c>
      <c r="AH9" s="156">
        <v>32329.150316455703</v>
      </c>
      <c r="AI9" s="156">
        <v>32724.40553051731</v>
      </c>
      <c r="AJ9" s="156">
        <v>33124.49312287262</v>
      </c>
      <c r="AK9" s="156">
        <v>33529.472174032511</v>
      </c>
      <c r="AL9" s="156">
        <v>33939.402486824387</v>
      </c>
      <c r="AM9" s="156">
        <v>34354.344595223229</v>
      </c>
      <c r="AN9" s="156">
        <v>34774.359773290547</v>
      </c>
      <c r="AO9" s="156">
        <v>35199.510044222705</v>
      </c>
      <c r="AP9" s="156">
        <v>35629.858189509774</v>
      </c>
      <c r="AQ9" s="156">
        <v>36065.467758206396</v>
      </c>
      <c r="AR9" s="156">
        <v>36506.403076316084</v>
      </c>
    </row>
    <row r="10" spans="1:44" x14ac:dyDescent="0.2">
      <c r="B10" s="154">
        <v>3</v>
      </c>
      <c r="C10" s="137" t="s">
        <v>224</v>
      </c>
      <c r="D10" s="155" t="s">
        <v>225</v>
      </c>
      <c r="G10" s="156"/>
      <c r="H10" s="156">
        <v>9479</v>
      </c>
      <c r="I10" s="156">
        <v>9641.2098268483678</v>
      </c>
      <c r="J10" s="156">
        <v>9806.1954768770502</v>
      </c>
      <c r="K10" s="156">
        <v>9974.0044514888705</v>
      </c>
      <c r="L10" s="156">
        <v>10144.685064956628</v>
      </c>
      <c r="M10" s="156">
        <v>10144.685064956628</v>
      </c>
      <c r="N10" s="156">
        <v>10318.286458333334</v>
      </c>
      <c r="O10" s="156">
        <v>10483.047082539159</v>
      </c>
      <c r="P10" s="156">
        <v>10650.438576066001</v>
      </c>
      <c r="Q10" s="156">
        <v>10820.502948182866</v>
      </c>
      <c r="R10" s="156">
        <v>10993.282878955553</v>
      </c>
      <c r="S10" s="156">
        <v>11168.821729957806</v>
      </c>
      <c r="T10" s="156">
        <v>11333.500491093375</v>
      </c>
      <c r="U10" s="156">
        <v>11500.607359241918</v>
      </c>
      <c r="V10" s="156">
        <v>11670.178135642313</v>
      </c>
      <c r="W10" s="156">
        <v>11842.249149405037</v>
      </c>
      <c r="X10" s="156">
        <v>12016.857265295359</v>
      </c>
      <c r="Y10" s="156">
        <v>12177.013624063886</v>
      </c>
      <c r="Z10" s="156">
        <v>12339.304489275135</v>
      </c>
      <c r="AA10" s="156">
        <v>12503.758308864537</v>
      </c>
      <c r="AB10" s="156">
        <v>12670.403909911396</v>
      </c>
      <c r="AC10" s="156">
        <v>12839.270503691983</v>
      </c>
      <c r="AD10" s="156">
        <v>12996.243036581243</v>
      </c>
      <c r="AE10" s="156">
        <v>13155.134710910403</v>
      </c>
      <c r="AF10" s="156">
        <v>13315.968990044663</v>
      </c>
      <c r="AG10" s="156">
        <v>13478.769624211624</v>
      </c>
      <c r="AH10" s="156">
        <v>13643.560654008439</v>
      </c>
      <c r="AI10" s="156">
        <v>13810.366413951899</v>
      </c>
      <c r="AJ10" s="156">
        <v>13979.21153607184</v>
      </c>
      <c r="AK10" s="156">
        <v>14150.120953548558</v>
      </c>
      <c r="AL10" s="156">
        <v>14323.119904394654</v>
      </c>
      <c r="AM10" s="156">
        <v>14498.233935181914</v>
      </c>
      <c r="AN10" s="156">
        <v>14675.488904813725</v>
      </c>
      <c r="AO10" s="156">
        <v>14854.910988343665</v>
      </c>
      <c r="AP10" s="156">
        <v>15036.526680840705</v>
      </c>
      <c r="AQ10" s="156">
        <v>15220.362801301739</v>
      </c>
      <c r="AR10" s="156">
        <v>15406.446496611912</v>
      </c>
    </row>
    <row r="11" spans="1:44" x14ac:dyDescent="0.2">
      <c r="B11" s="154">
        <v>4</v>
      </c>
      <c r="C11" s="137" t="s">
        <v>226</v>
      </c>
      <c r="D11" s="155" t="s">
        <v>227</v>
      </c>
      <c r="G11" s="156"/>
      <c r="H11" s="156">
        <v>52492</v>
      </c>
      <c r="I11" s="156">
        <v>53390.271782986012</v>
      </c>
      <c r="J11" s="156">
        <v>54303.91528349297</v>
      </c>
      <c r="K11" s="156">
        <v>55233.19355074942</v>
      </c>
      <c r="L11" s="156">
        <v>56178.37413542602</v>
      </c>
      <c r="M11" s="156">
        <v>56178.37413542602</v>
      </c>
      <c r="N11" s="156">
        <v>57139.729166666657</v>
      </c>
      <c r="O11" s="156">
        <v>58052.126538310527</v>
      </c>
      <c r="P11" s="156">
        <v>58979.092914321809</v>
      </c>
      <c r="Q11" s="156">
        <v>59920.860930057497</v>
      </c>
      <c r="R11" s="156">
        <v>60877.66693555595</v>
      </c>
      <c r="S11" s="156">
        <v>61849.751054852328</v>
      </c>
      <c r="T11" s="156">
        <v>62761.695092148264</v>
      </c>
      <c r="U11" s="156">
        <v>63687.085293947319</v>
      </c>
      <c r="V11" s="156">
        <v>64626.11991730523</v>
      </c>
      <c r="W11" s="156">
        <v>65579.00014248013</v>
      </c>
      <c r="X11" s="156">
        <v>66545.930116033749</v>
      </c>
      <c r="Y11" s="156">
        <v>67432.830378137092</v>
      </c>
      <c r="Z11" s="156">
        <v>68331.550928476645</v>
      </c>
      <c r="AA11" s="156">
        <v>69242.249303609788</v>
      </c>
      <c r="AB11" s="156">
        <v>70165.085139684452</v>
      </c>
      <c r="AC11" s="156">
        <v>71100.220200421943</v>
      </c>
      <c r="AD11" s="156">
        <v>71969.489342359186</v>
      </c>
      <c r="AE11" s="156">
        <v>72849.386142537056</v>
      </c>
      <c r="AF11" s="156">
        <v>73740.040534383836</v>
      </c>
      <c r="AG11" s="156">
        <v>74641.584039889887</v>
      </c>
      <c r="AH11" s="156">
        <v>75554.149789029529</v>
      </c>
      <c r="AI11" s="156">
        <v>76477.872539420088</v>
      </c>
      <c r="AJ11" s="156">
        <v>77412.888696221431</v>
      </c>
      <c r="AK11" s="156">
        <v>78359.336332278806</v>
      </c>
      <c r="AL11" s="156">
        <v>79317.355208511872</v>
      </c>
      <c r="AM11" s="156">
        <v>80287.086794553092</v>
      </c>
      <c r="AN11" s="156">
        <v>81268.674289638351</v>
      </c>
      <c r="AO11" s="156">
        <v>82262.262643753071</v>
      </c>
      <c r="AP11" s="156">
        <v>83267.998579036852</v>
      </c>
      <c r="AQ11" s="156">
        <v>84286.03061144962</v>
      </c>
      <c r="AR11" s="156">
        <v>85316.509072703047</v>
      </c>
    </row>
    <row r="12" spans="1:44" x14ac:dyDescent="0.2">
      <c r="B12" s="154">
        <v>5</v>
      </c>
      <c r="C12" s="137" t="s">
        <v>228</v>
      </c>
      <c r="D12" s="155" t="s">
        <v>221</v>
      </c>
      <c r="G12" s="156"/>
      <c r="H12" s="156">
        <v>17418</v>
      </c>
      <c r="I12" s="156">
        <v>17716.066332318263</v>
      </c>
      <c r="J12" s="156">
        <v>18019.233338563601</v>
      </c>
      <c r="K12" s="156">
        <v>18327.588304255001</v>
      </c>
      <c r="L12" s="156">
        <v>18641.220008588938</v>
      </c>
      <c r="M12" s="156">
        <v>18641.220008588938</v>
      </c>
      <c r="N12" s="156">
        <v>18960.218749999996</v>
      </c>
      <c r="O12" s="156">
        <v>19262.972263283791</v>
      </c>
      <c r="P12" s="156">
        <v>19570.56009261711</v>
      </c>
      <c r="Q12" s="156">
        <v>19883.059431527501</v>
      </c>
      <c r="R12" s="156">
        <v>20200.548706155474</v>
      </c>
      <c r="S12" s="156">
        <v>20523.107594936708</v>
      </c>
      <c r="T12" s="156">
        <v>20825.710681914174</v>
      </c>
      <c r="U12" s="156">
        <v>21132.775501980766</v>
      </c>
      <c r="V12" s="156">
        <v>21444.367841187654</v>
      </c>
      <c r="W12" s="156">
        <v>21760.554455568828</v>
      </c>
      <c r="X12" s="156">
        <v>22081.403085443035</v>
      </c>
      <c r="Y12" s="156">
        <v>22375.696097050826</v>
      </c>
      <c r="Z12" s="156">
        <v>22673.911340246254</v>
      </c>
      <c r="AA12" s="156">
        <v>22976.101089123586</v>
      </c>
      <c r="AB12" s="156">
        <v>23282.318314467422</v>
      </c>
      <c r="AC12" s="156">
        <v>23592.616693037973</v>
      </c>
      <c r="AD12" s="156">
        <v>23881.059311232424</v>
      </c>
      <c r="AE12" s="156">
        <v>24173.028420153747</v>
      </c>
      <c r="AF12" s="156">
        <v>24468.567134570938</v>
      </c>
      <c r="AG12" s="156">
        <v>24767.719096372828</v>
      </c>
      <c r="AH12" s="156">
        <v>25070.52848101265</v>
      </c>
      <c r="AI12" s="156">
        <v>25377.040004031449</v>
      </c>
      <c r="AJ12" s="156">
        <v>25687.298927661068</v>
      </c>
      <c r="AK12" s="156">
        <v>26001.351067508043</v>
      </c>
      <c r="AL12" s="156">
        <v>26319.24279931913</v>
      </c>
      <c r="AM12" s="156">
        <v>26641.021065829569</v>
      </c>
      <c r="AN12" s="156">
        <v>26966.733383695057</v>
      </c>
      <c r="AO12" s="156">
        <v>27296.42785050848</v>
      </c>
      <c r="AP12" s="156">
        <v>27630.153151902457</v>
      </c>
      <c r="AQ12" s="156">
        <v>27967.958568738657</v>
      </c>
      <c r="AR12" s="156">
        <v>28309.893984385086</v>
      </c>
    </row>
    <row r="13" spans="1:44" x14ac:dyDescent="0.2">
      <c r="B13" s="154">
        <v>6</v>
      </c>
      <c r="C13" s="137" t="s">
        <v>229</v>
      </c>
      <c r="D13" s="155" t="s">
        <v>230</v>
      </c>
      <c r="G13" s="156"/>
      <c r="H13" s="156">
        <v>39839</v>
      </c>
      <c r="I13" s="156">
        <v>40520.746734023844</v>
      </c>
      <c r="J13" s="156">
        <v>41214.159890632414</v>
      </c>
      <c r="K13" s="156">
        <v>41919.439112022905</v>
      </c>
      <c r="L13" s="156">
        <v>42636.787456778882</v>
      </c>
      <c r="M13" s="156">
        <v>42636.787456778882</v>
      </c>
      <c r="N13" s="156">
        <v>43366.411458333343</v>
      </c>
      <c r="O13" s="156">
        <v>44058.878860774086</v>
      </c>
      <c r="P13" s="156">
        <v>44762.403463645256</v>
      </c>
      <c r="Q13" s="156">
        <v>45477.161826422322</v>
      </c>
      <c r="R13" s="156">
        <v>46203.333327852131</v>
      </c>
      <c r="S13" s="156">
        <v>46941.100210970457</v>
      </c>
      <c r="T13" s="156">
        <v>47633.223553609969</v>
      </c>
      <c r="U13" s="156">
        <v>48335.551913159477</v>
      </c>
      <c r="V13" s="156">
        <v>49048.235757553972</v>
      </c>
      <c r="W13" s="156">
        <v>49771.427773303847</v>
      </c>
      <c r="X13" s="156">
        <v>50505.282898206751</v>
      </c>
      <c r="Y13" s="156">
        <v>51178.399173866565</v>
      </c>
      <c r="Z13" s="156">
        <v>51860.48650155418</v>
      </c>
      <c r="AA13" s="156">
        <v>52551.664444229791</v>
      </c>
      <c r="AB13" s="156">
        <v>53252.054158345825</v>
      </c>
      <c r="AC13" s="156">
        <v>53961.77841508438</v>
      </c>
      <c r="AD13" s="156">
        <v>54621.513486059732</v>
      </c>
      <c r="AE13" s="156">
        <v>55289.314458060937</v>
      </c>
      <c r="AF13" s="156">
        <v>55965.279944549999</v>
      </c>
      <c r="AG13" s="156">
        <v>56649.509764634116</v>
      </c>
      <c r="AH13" s="156">
        <v>57342.104957805903</v>
      </c>
      <c r="AI13" s="156">
        <v>58043.16779886376</v>
      </c>
      <c r="AJ13" s="156">
        <v>58752.801813014659</v>
      </c>
      <c r="AK13" s="156">
        <v>59471.111791161602</v>
      </c>
      <c r="AL13" s="156">
        <v>60198.203805378056</v>
      </c>
      <c r="AM13" s="156">
        <v>60934.185224571382</v>
      </c>
      <c r="AN13" s="156">
        <v>61679.164730338001</v>
      </c>
      <c r="AO13" s="156">
        <v>62433.252333012264</v>
      </c>
      <c r="AP13" s="156">
        <v>63196.55938791146</v>
      </c>
      <c r="AQ13" s="156">
        <v>63969.198611779735</v>
      </c>
      <c r="AR13" s="156">
        <v>64751.28409943264</v>
      </c>
    </row>
    <row r="14" spans="1:44" x14ac:dyDescent="0.2">
      <c r="B14" s="154">
        <v>7</v>
      </c>
      <c r="C14" s="137" t="s">
        <v>231</v>
      </c>
      <c r="D14" s="155" t="s">
        <v>225</v>
      </c>
      <c r="G14" s="156"/>
      <c r="H14" s="156">
        <v>6906</v>
      </c>
      <c r="I14" s="156">
        <v>7024.1792450907078</v>
      </c>
      <c r="J14" s="156">
        <v>7144.3808379906004</v>
      </c>
      <c r="K14" s="156">
        <v>7266.6393862202922</v>
      </c>
      <c r="L14" s="156">
        <v>7390.9900895232067</v>
      </c>
      <c r="M14" s="156">
        <v>7390.9900895232067</v>
      </c>
      <c r="N14" s="156">
        <v>7517.4687500000009</v>
      </c>
      <c r="O14" s="156">
        <v>7637.5063985668767</v>
      </c>
      <c r="P14" s="156">
        <v>7759.4607876687196</v>
      </c>
      <c r="Q14" s="156">
        <v>7883.3625234888586</v>
      </c>
      <c r="R14" s="156">
        <v>8009.2427009248931</v>
      </c>
      <c r="S14" s="156">
        <v>8137.1329113924057</v>
      </c>
      <c r="T14" s="156">
        <v>8257.1109179756149</v>
      </c>
      <c r="U14" s="156">
        <v>8378.8579410195907</v>
      </c>
      <c r="V14" s="156">
        <v>8502.4000637984827</v>
      </c>
      <c r="W14" s="156">
        <v>8627.7637541714503</v>
      </c>
      <c r="X14" s="156">
        <v>8754.9758702531635</v>
      </c>
      <c r="Y14" s="156">
        <v>8871.6590450242875</v>
      </c>
      <c r="Z14" s="156">
        <v>8989.8973312516191</v>
      </c>
      <c r="AA14" s="156">
        <v>9109.7114549022554</v>
      </c>
      <c r="AB14" s="156">
        <v>9231.1224181715479</v>
      </c>
      <c r="AC14" s="156">
        <v>9354.1515031645577</v>
      </c>
      <c r="AD14" s="156">
        <v>9468.5150765513317</v>
      </c>
      <c r="AE14" s="156">
        <v>9584.2768555277198</v>
      </c>
      <c r="AF14" s="156">
        <v>9701.4539345129706</v>
      </c>
      <c r="AG14" s="156">
        <v>9820.0636169221925</v>
      </c>
      <c r="AH14" s="156">
        <v>9940.1234177215192</v>
      </c>
      <c r="AI14" s="156">
        <v>10061.65106601454</v>
      </c>
      <c r="AJ14" s="156">
        <v>10184.664507660314</v>
      </c>
      <c r="AK14" s="156">
        <v>10309.181907923445</v>
      </c>
      <c r="AL14" s="156">
        <v>10435.221654156501</v>
      </c>
      <c r="AM14" s="156">
        <v>10562.802358515273</v>
      </c>
      <c r="AN14" s="156">
        <v>10691.942860707202</v>
      </c>
      <c r="AO14" s="156">
        <v>10822.662230773431</v>
      </c>
      <c r="AP14" s="156">
        <v>10954.979771904831</v>
      </c>
      <c r="AQ14" s="156">
        <v>11088.915023292526</v>
      </c>
      <c r="AR14" s="156">
        <v>11224.48776301317</v>
      </c>
    </row>
    <row r="15" spans="1:44" x14ac:dyDescent="0.2">
      <c r="B15" s="154">
        <v>8</v>
      </c>
      <c r="C15" s="137" t="s">
        <v>232</v>
      </c>
      <c r="D15" s="155" t="s">
        <v>233</v>
      </c>
      <c r="G15" s="156"/>
      <c r="H15" s="156">
        <v>104976</v>
      </c>
      <c r="I15" s="156">
        <v>106772.40666560123</v>
      </c>
      <c r="J15" s="156">
        <v>108599.55442353044</v>
      </c>
      <c r="K15" s="156">
        <v>110457.96933215483</v>
      </c>
      <c r="L15" s="156">
        <v>112348.18645203998</v>
      </c>
      <c r="M15" s="156">
        <v>112348.18645203998</v>
      </c>
      <c r="N15" s="156">
        <v>114270.75000000001</v>
      </c>
      <c r="O15" s="156">
        <v>116095.40569011823</v>
      </c>
      <c r="P15" s="156">
        <v>117949.1971685942</v>
      </c>
      <c r="Q15" s="156">
        <v>119832.58967068724</v>
      </c>
      <c r="R15" s="156">
        <v>121746.05586045342</v>
      </c>
      <c r="S15" s="156">
        <v>123690.07594936708</v>
      </c>
      <c r="T15" s="156">
        <v>125513.82503987952</v>
      </c>
      <c r="U15" s="156">
        <v>127364.46441014658</v>
      </c>
      <c r="V15" s="156">
        <v>129242.3905440645</v>
      </c>
      <c r="W15" s="156">
        <v>131148.00577148888</v>
      </c>
      <c r="X15" s="156">
        <v>133081.71835443037</v>
      </c>
      <c r="Y15" s="156">
        <v>134855.38371133353</v>
      </c>
      <c r="Z15" s="156">
        <v>136652.68784324781</v>
      </c>
      <c r="AA15" s="156">
        <v>138473.94579927876</v>
      </c>
      <c r="AB15" s="156">
        <v>140319.47682739299</v>
      </c>
      <c r="AC15" s="156">
        <v>142189.60443037975</v>
      </c>
      <c r="AD15" s="156">
        <v>143928.01023400703</v>
      </c>
      <c r="AE15" s="156">
        <v>145687.66973441609</v>
      </c>
      <c r="AF15" s="156">
        <v>147468.84277866108</v>
      </c>
      <c r="AG15" s="156">
        <v>149271.79239067825</v>
      </c>
      <c r="AH15" s="156">
        <v>151096.78481012656</v>
      </c>
      <c r="AI15" s="156">
        <v>152944.08953170321</v>
      </c>
      <c r="AJ15" s="156">
        <v>154813.97934493906</v>
      </c>
      <c r="AK15" s="156">
        <v>156706.73037448182</v>
      </c>
      <c r="AL15" s="156">
        <v>158622.62212087068</v>
      </c>
      <c r="AM15" s="156">
        <v>160561.93750180988</v>
      </c>
      <c r="AN15" s="156">
        <v>162524.9628939472</v>
      </c>
      <c r="AO15" s="156">
        <v>164511.98817516238</v>
      </c>
      <c r="AP15" s="156">
        <v>166523.30676737355</v>
      </c>
      <c r="AQ15" s="156">
        <v>168559.21567986617</v>
      </c>
      <c r="AR15" s="156">
        <v>170620.01555315248</v>
      </c>
    </row>
    <row r="16" spans="1:44" x14ac:dyDescent="0.2">
      <c r="B16" s="157"/>
      <c r="C16" s="158" t="s">
        <v>84</v>
      </c>
      <c r="D16" s="159"/>
      <c r="E16" s="158"/>
      <c r="F16" s="158"/>
      <c r="G16" s="160"/>
      <c r="H16" s="160">
        <v>264817</v>
      </c>
      <c r="I16" s="160">
        <v>269348.69318667619</v>
      </c>
      <c r="J16" s="160">
        <v>273957.93518305192</v>
      </c>
      <c r="K16" s="160">
        <v>278646.05304672732</v>
      </c>
      <c r="L16" s="160">
        <v>283414.39654463751</v>
      </c>
      <c r="M16" s="160">
        <v>283414.39654463751</v>
      </c>
      <c r="N16" s="160">
        <v>288264.33854166669</v>
      </c>
      <c r="O16" s="160">
        <v>292867.29393994855</v>
      </c>
      <c r="P16" s="160">
        <v>297543.74853867176</v>
      </c>
      <c r="Q16" s="160">
        <v>302294.87596043269</v>
      </c>
      <c r="R16" s="160">
        <v>307121.8685680317</v>
      </c>
      <c r="S16" s="160">
        <v>312025.93776371307</v>
      </c>
      <c r="T16" s="160">
        <v>316626.60613460006</v>
      </c>
      <c r="U16" s="160">
        <v>321295.10908876109</v>
      </c>
      <c r="V16" s="160">
        <v>326032.44681362913</v>
      </c>
      <c r="W16" s="160">
        <v>330839.63424390688</v>
      </c>
      <c r="X16" s="160">
        <v>335717.70127900841</v>
      </c>
      <c r="Y16" s="160">
        <v>340192.02625632728</v>
      </c>
      <c r="Z16" s="160">
        <v>344725.98343035893</v>
      </c>
      <c r="AA16" s="160">
        <v>349320.3675576094</v>
      </c>
      <c r="AB16" s="160">
        <v>353975.98398681358</v>
      </c>
      <c r="AC16" s="160">
        <v>358693.6488001055</v>
      </c>
      <c r="AD16" s="160">
        <v>363079.02650262008</v>
      </c>
      <c r="AE16" s="160">
        <v>367518.01970030169</v>
      </c>
      <c r="AF16" s="160">
        <v>372011.28389457299</v>
      </c>
      <c r="AG16" s="160">
        <v>376559.48260099679</v>
      </c>
      <c r="AH16" s="160">
        <v>381163.28744725732</v>
      </c>
      <c r="AI16" s="160">
        <v>385823.37827233889</v>
      </c>
      <c r="AJ16" s="160">
        <v>390540.4432269159</v>
      </c>
      <c r="AK16" s="160">
        <v>395315.17887497286</v>
      </c>
      <c r="AL16" s="160">
        <v>400148.29029666411</v>
      </c>
      <c r="AM16" s="160">
        <v>405040.49119243247</v>
      </c>
      <c r="AN16" s="160">
        <v>409992.50398840132</v>
      </c>
      <c r="AO16" s="160">
        <v>415005.05994305341</v>
      </c>
      <c r="AP16" s="160">
        <v>420078.89925521606</v>
      </c>
      <c r="AQ16" s="160">
        <v>425214.7711733646</v>
      </c>
      <c r="AR16" s="160">
        <v>430413.43410626403</v>
      </c>
    </row>
    <row r="17" spans="1:44" x14ac:dyDescent="0.2">
      <c r="B17" s="161"/>
      <c r="C17" s="162"/>
      <c r="D17" s="155"/>
      <c r="E17" s="162"/>
      <c r="F17" s="162"/>
      <c r="G17" s="161"/>
      <c r="H17" s="161"/>
      <c r="I17" s="163"/>
      <c r="J17" s="163"/>
      <c r="K17" s="163"/>
      <c r="L17" s="164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6"/>
      <c r="X17" s="165"/>
      <c r="Y17" s="165"/>
      <c r="Z17" s="165"/>
      <c r="AA17" s="165"/>
      <c r="AB17" s="165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5"/>
      <c r="AO17" s="165"/>
      <c r="AP17" s="165"/>
      <c r="AQ17" s="165"/>
      <c r="AR17" s="165"/>
    </row>
    <row r="18" spans="1:44" x14ac:dyDescent="0.2">
      <c r="B18" s="139"/>
      <c r="C18" s="140" t="s">
        <v>234</v>
      </c>
      <c r="D18" s="141"/>
      <c r="E18" s="140"/>
      <c r="F18" s="140"/>
      <c r="G18" s="142"/>
      <c r="H18" s="142"/>
      <c r="I18" s="139"/>
      <c r="J18" s="143"/>
      <c r="K18" s="139"/>
      <c r="L18" s="143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0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144"/>
      <c r="AO18" s="144"/>
      <c r="AP18" s="144"/>
      <c r="AQ18" s="144"/>
      <c r="AR18" s="144"/>
    </row>
    <row r="19" spans="1:44" x14ac:dyDescent="0.2">
      <c r="A19" s="145"/>
      <c r="B19" s="146"/>
      <c r="C19" s="146" t="s">
        <v>218</v>
      </c>
      <c r="D19" s="147" t="s">
        <v>219</v>
      </c>
      <c r="E19" s="146"/>
      <c r="F19" s="146"/>
      <c r="G19" s="148">
        <v>2019</v>
      </c>
      <c r="H19" s="148">
        <v>2020</v>
      </c>
      <c r="I19" s="148">
        <v>2021</v>
      </c>
      <c r="J19" s="148">
        <v>2022</v>
      </c>
      <c r="K19" s="148">
        <v>2023</v>
      </c>
      <c r="L19" s="149">
        <v>45352</v>
      </c>
      <c r="M19" s="148">
        <v>2024</v>
      </c>
      <c r="N19" s="146">
        <v>2025</v>
      </c>
      <c r="O19" s="146">
        <v>2026</v>
      </c>
      <c r="P19" s="146">
        <v>2027</v>
      </c>
      <c r="Q19" s="146">
        <v>2028</v>
      </c>
      <c r="R19" s="146">
        <v>2029</v>
      </c>
      <c r="S19" s="146">
        <v>2030</v>
      </c>
      <c r="T19" s="146">
        <v>2031</v>
      </c>
      <c r="U19" s="146">
        <v>2032</v>
      </c>
      <c r="V19" s="146">
        <v>2033</v>
      </c>
      <c r="W19" s="146">
        <v>2034</v>
      </c>
      <c r="X19" s="146">
        <v>2035</v>
      </c>
      <c r="Y19" s="146">
        <v>2036</v>
      </c>
      <c r="Z19" s="146">
        <v>2037</v>
      </c>
      <c r="AA19" s="146">
        <v>2038</v>
      </c>
      <c r="AB19" s="146">
        <v>2039</v>
      </c>
      <c r="AC19" s="146">
        <v>2040</v>
      </c>
      <c r="AD19" s="146">
        <v>2041</v>
      </c>
      <c r="AE19" s="146">
        <v>2042</v>
      </c>
      <c r="AF19" s="146">
        <v>2043</v>
      </c>
      <c r="AG19" s="146">
        <v>2044</v>
      </c>
      <c r="AH19" s="146">
        <v>2045</v>
      </c>
      <c r="AI19" s="146">
        <v>2046</v>
      </c>
      <c r="AJ19" s="146">
        <v>2047</v>
      </c>
      <c r="AK19" s="146">
        <v>2048</v>
      </c>
      <c r="AL19" s="146">
        <v>2049</v>
      </c>
      <c r="AM19" s="146">
        <v>2050</v>
      </c>
      <c r="AN19" s="146">
        <v>2051</v>
      </c>
      <c r="AO19" s="146">
        <v>2052</v>
      </c>
      <c r="AP19" s="146">
        <v>2053</v>
      </c>
      <c r="AQ19" s="146">
        <v>2054</v>
      </c>
      <c r="AR19" s="146">
        <v>2055</v>
      </c>
    </row>
    <row r="20" spans="1:44" x14ac:dyDescent="0.2">
      <c r="B20" s="150"/>
      <c r="C20" s="150"/>
      <c r="D20" s="151"/>
      <c r="E20" s="150"/>
      <c r="F20" s="150"/>
      <c r="G20" s="152"/>
      <c r="H20" s="152"/>
      <c r="I20" s="152"/>
      <c r="J20" s="152"/>
      <c r="K20" s="152"/>
      <c r="L20" s="153"/>
      <c r="M20" s="152"/>
      <c r="N20" s="150"/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150"/>
      <c r="AB20" s="150"/>
      <c r="AC20" s="150"/>
      <c r="AD20" s="150"/>
      <c r="AE20" s="150"/>
      <c r="AF20" s="150"/>
      <c r="AG20" s="150"/>
      <c r="AH20" s="150"/>
      <c r="AI20" s="150"/>
      <c r="AJ20" s="150"/>
      <c r="AK20" s="150"/>
      <c r="AL20" s="150"/>
      <c r="AM20" s="150"/>
      <c r="AN20" s="150"/>
      <c r="AO20" s="150"/>
      <c r="AP20" s="150"/>
      <c r="AQ20" s="150"/>
      <c r="AR20" s="150"/>
    </row>
    <row r="21" spans="1:44" x14ac:dyDescent="0.2">
      <c r="B21" s="150"/>
      <c r="C21" s="150"/>
      <c r="D21" s="151"/>
      <c r="E21" s="150"/>
      <c r="F21" s="150"/>
      <c r="G21" s="152"/>
      <c r="H21" s="152"/>
      <c r="I21" s="152"/>
      <c r="J21" s="152"/>
      <c r="K21" s="152"/>
      <c r="L21" s="153"/>
      <c r="M21" s="152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  <c r="AH21" s="150"/>
      <c r="AI21" s="150"/>
      <c r="AJ21" s="150"/>
      <c r="AK21" s="150"/>
      <c r="AL21" s="150"/>
      <c r="AM21" s="150"/>
      <c r="AN21" s="150"/>
      <c r="AO21" s="150"/>
      <c r="AP21" s="150"/>
      <c r="AQ21" s="150"/>
      <c r="AR21" s="150"/>
    </row>
    <row r="22" spans="1:44" x14ac:dyDescent="0.2">
      <c r="B22" s="154">
        <v>1</v>
      </c>
      <c r="C22" s="137" t="s">
        <v>220</v>
      </c>
      <c r="D22" s="155" t="s">
        <v>221</v>
      </c>
      <c r="G22" s="167"/>
      <c r="H22" s="168">
        <v>2615.3488372093025</v>
      </c>
      <c r="I22" s="168">
        <v>2660.1041154065592</v>
      </c>
      <c r="J22" s="168">
        <v>2705.6252703763594</v>
      </c>
      <c r="K22" s="168">
        <v>2751.9254082204684</v>
      </c>
      <c r="L22" s="168">
        <v>2799.0178593194314</v>
      </c>
      <c r="M22" s="168">
        <v>2799.0178593194314</v>
      </c>
      <c r="N22" s="156">
        <v>2846.9161821705429</v>
      </c>
      <c r="O22" s="156">
        <v>2892.375250314291</v>
      </c>
      <c r="P22" s="156">
        <v>2938.5602010426528</v>
      </c>
      <c r="Q22" s="156">
        <v>2985.4826251239465</v>
      </c>
      <c r="R22" s="156">
        <v>3033.1542984058801</v>
      </c>
      <c r="S22" s="156">
        <v>3081.5871847708768</v>
      </c>
      <c r="T22" s="156">
        <v>3127.023666092638</v>
      </c>
      <c r="U22" s="156">
        <v>3173.1300858945133</v>
      </c>
      <c r="V22" s="156">
        <v>3219.9163220885684</v>
      </c>
      <c r="W22" s="156">
        <v>3267.3923982318079</v>
      </c>
      <c r="X22" s="156">
        <v>3315.5684856736339</v>
      </c>
      <c r="Y22" s="156">
        <v>3359.7571919376846</v>
      </c>
      <c r="Z22" s="156">
        <v>3404.534829412095</v>
      </c>
      <c r="AA22" s="156">
        <v>3449.9092471605672</v>
      </c>
      <c r="AB22" s="156">
        <v>3495.8883988563107</v>
      </c>
      <c r="AC22" s="156">
        <v>3542.4803441762342</v>
      </c>
      <c r="AD22" s="156">
        <v>3585.7906017314331</v>
      </c>
      <c r="AE22" s="156">
        <v>3629.6303691857011</v>
      </c>
      <c r="AF22" s="156">
        <v>3674.0061203110495</v>
      </c>
      <c r="AG22" s="156">
        <v>3718.924408027633</v>
      </c>
      <c r="AH22" s="156">
        <v>3764.3918653714059</v>
      </c>
      <c r="AI22" s="156">
        <v>3810.4152064736263</v>
      </c>
      <c r="AJ22" s="156">
        <v>3857.0012275523104</v>
      </c>
      <c r="AK22" s="156">
        <v>3904.1568079158355</v>
      </c>
      <c r="AL22" s="156">
        <v>3951.8889109787933</v>
      </c>
      <c r="AM22" s="156">
        <v>4000.2045852902693</v>
      </c>
      <c r="AN22" s="156">
        <v>4049.1109655747</v>
      </c>
      <c r="AO22" s="156">
        <v>4098.6152737854518</v>
      </c>
      <c r="AP22" s="156">
        <v>4148.7248201712619</v>
      </c>
      <c r="AQ22" s="156">
        <v>4199.4470043557576</v>
      </c>
      <c r="AR22" s="156">
        <v>4250.7893164301386</v>
      </c>
    </row>
    <row r="23" spans="1:44" x14ac:dyDescent="0.2">
      <c r="B23" s="154">
        <v>2</v>
      </c>
      <c r="C23" s="137" t="s">
        <v>222</v>
      </c>
      <c r="D23" s="155" t="s">
        <v>223</v>
      </c>
      <c r="G23" s="167"/>
      <c r="H23" s="168">
        <v>5104.772727272727</v>
      </c>
      <c r="I23" s="168">
        <v>5192.1283871726291</v>
      </c>
      <c r="J23" s="168">
        <v>5280.9789248514753</v>
      </c>
      <c r="K23" s="168">
        <v>5371.3499214745389</v>
      </c>
      <c r="L23" s="168">
        <v>5463.2673959659824</v>
      </c>
      <c r="M23" s="168">
        <v>5463.2673959659824</v>
      </c>
      <c r="N23" s="156">
        <v>5556.7578125</v>
      </c>
      <c r="O23" s="156">
        <v>5645.4871659101</v>
      </c>
      <c r="P23" s="156">
        <v>5735.6333343807473</v>
      </c>
      <c r="Q23" s="156">
        <v>5827.2189413712458</v>
      </c>
      <c r="R23" s="156">
        <v>5920.2669715884076</v>
      </c>
      <c r="S23" s="156">
        <v>6014.8007767548906</v>
      </c>
      <c r="T23" s="156">
        <v>6103.4860440410939</v>
      </c>
      <c r="U23" s="156">
        <v>6193.4789317997838</v>
      </c>
      <c r="V23" s="156">
        <v>6284.7987202491167</v>
      </c>
      <c r="W23" s="156">
        <v>6377.4649738845337</v>
      </c>
      <c r="X23" s="156">
        <v>6471.4975456703096</v>
      </c>
      <c r="Y23" s="156">
        <v>6557.7473412543277</v>
      </c>
      <c r="Z23" s="156">
        <v>6645.1466431443851</v>
      </c>
      <c r="AA23" s="156">
        <v>6733.7107715477832</v>
      </c>
      <c r="AB23" s="156">
        <v>6823.4552508540382</v>
      </c>
      <c r="AC23" s="156">
        <v>6914.395812356157</v>
      </c>
      <c r="AD23" s="156">
        <v>6998.9310064508963</v>
      </c>
      <c r="AE23" s="156">
        <v>7084.4997252720987</v>
      </c>
      <c r="AF23" s="156">
        <v>7171.1146046618169</v>
      </c>
      <c r="AG23" s="156">
        <v>7258.7884349475216</v>
      </c>
      <c r="AH23" s="156">
        <v>7347.5341628308415</v>
      </c>
      <c r="AI23" s="156">
        <v>7437.3648932993883</v>
      </c>
      <c r="AJ23" s="156">
        <v>7528.2938915619588</v>
      </c>
      <c r="AK23" s="156">
        <v>7620.3345850073883</v>
      </c>
      <c r="AL23" s="156">
        <v>7713.5005651873598</v>
      </c>
      <c r="AM23" s="156">
        <v>7807.8055898234607</v>
      </c>
      <c r="AN23" s="156">
        <v>7903.2635848387599</v>
      </c>
      <c r="AO23" s="156">
        <v>7999.8886464142506</v>
      </c>
      <c r="AP23" s="156">
        <v>8097.6950430704028</v>
      </c>
      <c r="AQ23" s="156">
        <v>8196.6972177741809</v>
      </c>
      <c r="AR23" s="156">
        <v>8296.9097900718371</v>
      </c>
    </row>
    <row r="24" spans="1:44" x14ac:dyDescent="0.2">
      <c r="B24" s="154">
        <v>3</v>
      </c>
      <c r="C24" s="137" t="s">
        <v>224</v>
      </c>
      <c r="D24" s="155" t="s">
        <v>225</v>
      </c>
      <c r="G24" s="167"/>
      <c r="H24" s="168">
        <v>2204.4186046511627</v>
      </c>
      <c r="I24" s="168">
        <v>2242.1418201972951</v>
      </c>
      <c r="J24" s="168">
        <v>2280.5105760179185</v>
      </c>
      <c r="K24" s="168">
        <v>2319.5359189509004</v>
      </c>
      <c r="L24" s="168">
        <v>2359.2290848736343</v>
      </c>
      <c r="M24" s="168">
        <v>2359.2290848736343</v>
      </c>
      <c r="N24" s="156">
        <v>2399.6015019379847</v>
      </c>
      <c r="O24" s="156">
        <v>2437.9179261718973</v>
      </c>
      <c r="P24" s="156">
        <v>2476.8461804804656</v>
      </c>
      <c r="Q24" s="156">
        <v>2516.3960344611319</v>
      </c>
      <c r="R24" s="156">
        <v>2556.5774137105941</v>
      </c>
      <c r="S24" s="156">
        <v>2597.400402315769</v>
      </c>
      <c r="T24" s="156">
        <v>2635.6977886263662</v>
      </c>
      <c r="U24" s="156">
        <v>2674.5598509864926</v>
      </c>
      <c r="V24" s="156">
        <v>2713.9949152656541</v>
      </c>
      <c r="W24" s="156">
        <v>2754.011430094195</v>
      </c>
      <c r="X24" s="156">
        <v>2794.6179686733394</v>
      </c>
      <c r="Y24" s="156">
        <v>2831.8636335032293</v>
      </c>
      <c r="Z24" s="156">
        <v>2869.6056951802639</v>
      </c>
      <c r="AA24" s="156">
        <v>2907.8507695033809</v>
      </c>
      <c r="AB24" s="156">
        <v>2946.605560444511</v>
      </c>
      <c r="AC24" s="156">
        <v>2985.8768613237171</v>
      </c>
      <c r="AD24" s="156">
        <v>3022.382101530522</v>
      </c>
      <c r="AE24" s="156">
        <v>3059.3336537000937</v>
      </c>
      <c r="AF24" s="156">
        <v>3096.7369744289913</v>
      </c>
      <c r="AG24" s="156">
        <v>3134.597587025959</v>
      </c>
      <c r="AH24" s="156">
        <v>3172.9210823275439</v>
      </c>
      <c r="AI24" s="156">
        <v>3211.7131195236975</v>
      </c>
      <c r="AJ24" s="156">
        <v>3250.9794269934514</v>
      </c>
      <c r="AK24" s="156">
        <v>3290.7258031508277</v>
      </c>
      <c r="AL24" s="156">
        <v>3330.9581173010824</v>
      </c>
      <c r="AM24" s="156">
        <v>3371.6823105074218</v>
      </c>
      <c r="AN24" s="156">
        <v>3412.9043964683083</v>
      </c>
      <c r="AO24" s="156">
        <v>3454.6304624055037</v>
      </c>
      <c r="AP24" s="156">
        <v>3496.8666699629548</v>
      </c>
      <c r="AQ24" s="156">
        <v>3539.6192561166836</v>
      </c>
      <c r="AR24" s="156">
        <v>3582.8945340957935</v>
      </c>
    </row>
    <row r="25" spans="1:44" x14ac:dyDescent="0.2">
      <c r="B25" s="154">
        <v>4</v>
      </c>
      <c r="C25" s="137" t="s">
        <v>226</v>
      </c>
      <c r="D25" s="155" t="s">
        <v>227</v>
      </c>
      <c r="G25" s="167"/>
      <c r="H25" s="168">
        <v>11411.304347826088</v>
      </c>
      <c r="I25" s="168">
        <v>11606.580822388265</v>
      </c>
      <c r="J25" s="168">
        <v>11805.198974672387</v>
      </c>
      <c r="K25" s="168">
        <v>12007.215989293352</v>
      </c>
      <c r="L25" s="168">
        <v>12212.69002944044</v>
      </c>
      <c r="M25" s="168">
        <v>12212.69002944044</v>
      </c>
      <c r="N25" s="156">
        <v>12421.680253623188</v>
      </c>
      <c r="O25" s="156">
        <v>12620.027508328376</v>
      </c>
      <c r="P25" s="156">
        <v>12821.541937896047</v>
      </c>
      <c r="Q25" s="156">
        <v>13026.274115229891</v>
      </c>
      <c r="R25" s="156">
        <v>13234.275420773034</v>
      </c>
      <c r="S25" s="156">
        <v>13445.598055402681</v>
      </c>
      <c r="T25" s="156">
        <v>13643.846759162667</v>
      </c>
      <c r="U25" s="156">
        <v>13845.018542162461</v>
      </c>
      <c r="V25" s="156">
        <v>14049.156503762008</v>
      </c>
      <c r="W25" s="156">
        <v>14256.304378800029</v>
      </c>
      <c r="X25" s="156">
        <v>14466.506546963859</v>
      </c>
      <c r="Y25" s="156">
        <v>14659.310951768934</v>
      </c>
      <c r="Z25" s="156">
        <v>14854.684984451445</v>
      </c>
      <c r="AA25" s="156">
        <v>15052.662892089085</v>
      </c>
      <c r="AB25" s="156">
        <v>15253.279378192274</v>
      </c>
      <c r="AC25" s="156">
        <v>15456.56960878738</v>
      </c>
      <c r="AD25" s="156">
        <v>15645.541161382433</v>
      </c>
      <c r="AE25" s="156">
        <v>15836.823074464579</v>
      </c>
      <c r="AF25" s="156">
        <v>16030.44359443127</v>
      </c>
      <c r="AG25" s="156">
        <v>16226.431313019542</v>
      </c>
      <c r="AH25" s="156">
        <v>16424.81517152816</v>
      </c>
      <c r="AI25" s="156">
        <v>16625.624465091325</v>
      </c>
      <c r="AJ25" s="156">
        <v>16828.888847004659</v>
      </c>
      <c r="AK25" s="156">
        <v>17034.638333104089</v>
      </c>
      <c r="AL25" s="156">
        <v>17242.903306198234</v>
      </c>
      <c r="AM25" s="156">
        <v>17453.714520555022</v>
      </c>
      <c r="AN25" s="156">
        <v>17667.103106443123</v>
      </c>
      <c r="AO25" s="156">
        <v>17883.100574728931</v>
      </c>
      <c r="AP25" s="156">
        <v>18101.738821529751</v>
      </c>
      <c r="AQ25" s="156">
        <v>18323.050132923832</v>
      </c>
      <c r="AR25" s="156">
        <v>18547.067189718055</v>
      </c>
    </row>
    <row r="26" spans="1:44" x14ac:dyDescent="0.2">
      <c r="B26" s="154">
        <v>5</v>
      </c>
      <c r="C26" s="137" t="s">
        <v>228</v>
      </c>
      <c r="D26" s="155" t="s">
        <v>221</v>
      </c>
      <c r="G26" s="167"/>
      <c r="H26" s="168">
        <v>3958.6363636363635</v>
      </c>
      <c r="I26" s="168">
        <v>4026.3787118905143</v>
      </c>
      <c r="J26" s="168">
        <v>4095.2803042189998</v>
      </c>
      <c r="K26" s="168">
        <v>4165.3609782397725</v>
      </c>
      <c r="L26" s="168">
        <v>4236.6409110429404</v>
      </c>
      <c r="M26" s="168">
        <v>4236.6409110429404</v>
      </c>
      <c r="N26" s="156">
        <v>4309.1406249999991</v>
      </c>
      <c r="O26" s="156">
        <v>4377.9482416554065</v>
      </c>
      <c r="P26" s="156">
        <v>4447.8545665038882</v>
      </c>
      <c r="Q26" s="156">
        <v>4518.8771435289773</v>
      </c>
      <c r="R26" s="156">
        <v>4591.0337968535168</v>
      </c>
      <c r="S26" s="156">
        <v>4664.3426352128881</v>
      </c>
      <c r="T26" s="156">
        <v>4733.1160640714024</v>
      </c>
      <c r="U26" s="156">
        <v>4802.9035231774469</v>
      </c>
      <c r="V26" s="156">
        <v>4873.7199639062846</v>
      </c>
      <c r="W26" s="156">
        <v>4945.5805580838241</v>
      </c>
      <c r="X26" s="156">
        <v>5018.5007012370534</v>
      </c>
      <c r="Y26" s="156">
        <v>5085.3854766024597</v>
      </c>
      <c r="Z26" s="156">
        <v>5153.1616682377844</v>
      </c>
      <c r="AA26" s="156">
        <v>5221.8411566189961</v>
      </c>
      <c r="AB26" s="156">
        <v>5291.4359805607774</v>
      </c>
      <c r="AC26" s="156">
        <v>5361.9583393268113</v>
      </c>
      <c r="AD26" s="156">
        <v>5427.5134798255503</v>
      </c>
      <c r="AE26" s="156">
        <v>5493.8700954894875</v>
      </c>
      <c r="AF26" s="156">
        <v>5561.0379851297585</v>
      </c>
      <c r="AG26" s="156">
        <v>5629.0270673574605</v>
      </c>
      <c r="AH26" s="156">
        <v>5697.8473820483296</v>
      </c>
      <c r="AI26" s="156">
        <v>5767.5090918253291</v>
      </c>
      <c r="AJ26" s="156">
        <v>5838.0224835593335</v>
      </c>
      <c r="AK26" s="156">
        <v>5909.3979698881913</v>
      </c>
      <c r="AL26" s="156">
        <v>5981.6460907543469</v>
      </c>
      <c r="AM26" s="156">
        <v>6054.7775149612653</v>
      </c>
      <c r="AN26" s="156">
        <v>6128.8030417488762</v>
      </c>
      <c r="AO26" s="156">
        <v>6203.7336023882908</v>
      </c>
      <c r="AP26" s="156">
        <v>6279.5802617960126</v>
      </c>
      <c r="AQ26" s="156">
        <v>6356.3542201678765</v>
      </c>
      <c r="AR26" s="156">
        <v>6434.0668146329735</v>
      </c>
    </row>
    <row r="27" spans="1:44" x14ac:dyDescent="0.2">
      <c r="B27" s="154">
        <v>6</v>
      </c>
      <c r="C27" s="137" t="s">
        <v>229</v>
      </c>
      <c r="D27" s="155" t="s">
        <v>230</v>
      </c>
      <c r="G27" s="167"/>
      <c r="H27" s="168">
        <v>8660.652173913044</v>
      </c>
      <c r="I27" s="168">
        <v>8808.8579856573579</v>
      </c>
      <c r="J27" s="168">
        <v>8959.5999762244392</v>
      </c>
      <c r="K27" s="168">
        <v>9112.9215460919368</v>
      </c>
      <c r="L27" s="168">
        <v>9268.8668384301927</v>
      </c>
      <c r="M27" s="168">
        <v>9268.8668384301927</v>
      </c>
      <c r="N27" s="156">
        <v>9427.4807518115977</v>
      </c>
      <c r="O27" s="156">
        <v>9578.0171436465407</v>
      </c>
      <c r="P27" s="156">
        <v>9730.9572747054917</v>
      </c>
      <c r="Q27" s="156">
        <v>9886.3395274831146</v>
      </c>
      <c r="R27" s="156">
        <v>10044.20289735916</v>
      </c>
      <c r="S27" s="156">
        <v>10204.587002384882</v>
      </c>
      <c r="T27" s="156">
        <v>10355.048598610863</v>
      </c>
      <c r="U27" s="156">
        <v>10507.728676773801</v>
      </c>
      <c r="V27" s="156">
        <v>10662.659947294342</v>
      </c>
      <c r="W27" s="156">
        <v>10819.875602892142</v>
      </c>
      <c r="X27" s="156">
        <v>10979.409325697121</v>
      </c>
      <c r="Y27" s="156">
        <v>11125.738950840558</v>
      </c>
      <c r="Z27" s="156">
        <v>11274.018804685693</v>
      </c>
      <c r="AA27" s="156">
        <v>11424.27487918039</v>
      </c>
      <c r="AB27" s="156">
        <v>11576.533512683876</v>
      </c>
      <c r="AC27" s="156">
        <v>11730.821394583561</v>
      </c>
      <c r="AD27" s="156">
        <v>11874.242062186899</v>
      </c>
      <c r="AE27" s="156">
        <v>12019.416186534987</v>
      </c>
      <c r="AF27" s="156">
        <v>12166.365205336957</v>
      </c>
      <c r="AG27" s="156">
        <v>12315.110818398722</v>
      </c>
      <c r="AH27" s="156">
        <v>12465.67499082737</v>
      </c>
      <c r="AI27" s="156">
        <v>12618.079956274731</v>
      </c>
      <c r="AJ27" s="156">
        <v>12772.34822022058</v>
      </c>
      <c r="AK27" s="156">
        <v>12928.502563296002</v>
      </c>
      <c r="AL27" s="156">
        <v>13086.566044647405</v>
      </c>
      <c r="AM27" s="156">
        <v>13246.562005341606</v>
      </c>
      <c r="AN27" s="156">
        <v>13408.514071812609</v>
      </c>
      <c r="AO27" s="156">
        <v>13572.446159350493</v>
      </c>
      <c r="AP27" s="156">
        <v>13738.382475632927</v>
      </c>
      <c r="AQ27" s="156">
        <v>13906.347524299943</v>
      </c>
      <c r="AR27" s="156">
        <v>14076.366108572314</v>
      </c>
    </row>
    <row r="28" spans="1:44" x14ac:dyDescent="0.2">
      <c r="B28" s="154">
        <v>7</v>
      </c>
      <c r="C28" s="137" t="s">
        <v>231</v>
      </c>
      <c r="D28" s="155" t="s">
        <v>225</v>
      </c>
      <c r="G28" s="167"/>
      <c r="H28" s="168">
        <v>1726.5</v>
      </c>
      <c r="I28" s="168">
        <v>1756.044811272677</v>
      </c>
      <c r="J28" s="168">
        <v>1786.0952094976501</v>
      </c>
      <c r="K28" s="168">
        <v>1816.659846555073</v>
      </c>
      <c r="L28" s="168">
        <v>1847.7475223808017</v>
      </c>
      <c r="M28" s="168">
        <v>1847.7475223808017</v>
      </c>
      <c r="N28" s="156">
        <v>1879.3671875000002</v>
      </c>
      <c r="O28" s="156">
        <v>1909.3765996417192</v>
      </c>
      <c r="P28" s="156">
        <v>1939.8651969171799</v>
      </c>
      <c r="Q28" s="156">
        <v>1970.8406308722147</v>
      </c>
      <c r="R28" s="156">
        <v>2002.3106752312233</v>
      </c>
      <c r="S28" s="156">
        <v>2034.2832278481014</v>
      </c>
      <c r="T28" s="156">
        <v>2064.2777294939037</v>
      </c>
      <c r="U28" s="156">
        <v>2094.7144852548977</v>
      </c>
      <c r="V28" s="156">
        <v>2125.6000159496207</v>
      </c>
      <c r="W28" s="156">
        <v>2156.9409385428626</v>
      </c>
      <c r="X28" s="156">
        <v>2188.7439675632909</v>
      </c>
      <c r="Y28" s="156">
        <v>2217.9147612560719</v>
      </c>
      <c r="Z28" s="156">
        <v>2247.4743328129048</v>
      </c>
      <c r="AA28" s="156">
        <v>2277.4278637255638</v>
      </c>
      <c r="AB28" s="156">
        <v>2307.780604542887</v>
      </c>
      <c r="AC28" s="156">
        <v>2338.5378757911394</v>
      </c>
      <c r="AD28" s="156">
        <v>2367.1287691378329</v>
      </c>
      <c r="AE28" s="156">
        <v>2396.06921388193</v>
      </c>
      <c r="AF28" s="156">
        <v>2425.3634836282426</v>
      </c>
      <c r="AG28" s="156">
        <v>2455.0159042305481</v>
      </c>
      <c r="AH28" s="156">
        <v>2485.0308544303798</v>
      </c>
      <c r="AI28" s="156">
        <v>2515.4127665036349</v>
      </c>
      <c r="AJ28" s="156">
        <v>2546.1661269150786</v>
      </c>
      <c r="AK28" s="156">
        <v>2577.2954769808612</v>
      </c>
      <c r="AL28" s="156">
        <v>2608.8054135391253</v>
      </c>
      <c r="AM28" s="156">
        <v>2640.7005896288183</v>
      </c>
      <c r="AN28" s="156">
        <v>2672.9857151768006</v>
      </c>
      <c r="AO28" s="156">
        <v>2705.6655576933576</v>
      </c>
      <c r="AP28" s="156">
        <v>2738.7449429762078</v>
      </c>
      <c r="AQ28" s="156">
        <v>2772.2287558231315</v>
      </c>
      <c r="AR28" s="156">
        <v>2806.1219407532926</v>
      </c>
    </row>
    <row r="29" spans="1:44" x14ac:dyDescent="0.2">
      <c r="B29" s="154">
        <v>8</v>
      </c>
      <c r="C29" s="137" t="s">
        <v>232</v>
      </c>
      <c r="D29" s="155" t="s">
        <v>233</v>
      </c>
      <c r="G29" s="167"/>
      <c r="H29" s="168">
        <v>23328</v>
      </c>
      <c r="I29" s="168">
        <v>23727.201481244716</v>
      </c>
      <c r="J29" s="168">
        <v>24133.234316340098</v>
      </c>
      <c r="K29" s="168">
        <v>24546.215407145515</v>
      </c>
      <c r="L29" s="168">
        <v>24966.263656008887</v>
      </c>
      <c r="M29" s="168">
        <v>24966.263656008887</v>
      </c>
      <c r="N29" s="156">
        <v>25393.500000000004</v>
      </c>
      <c r="O29" s="156">
        <v>25798.979042248495</v>
      </c>
      <c r="P29" s="156">
        <v>26210.932704132043</v>
      </c>
      <c r="Q29" s="156">
        <v>26629.464371263832</v>
      </c>
      <c r="R29" s="156">
        <v>27054.679080100759</v>
      </c>
      <c r="S29" s="156">
        <v>27486.683544303796</v>
      </c>
      <c r="T29" s="156">
        <v>27891.961119973228</v>
      </c>
      <c r="U29" s="156">
        <v>28303.214313365908</v>
      </c>
      <c r="V29" s="156">
        <v>28720.531232014335</v>
      </c>
      <c r="W29" s="156">
        <v>29144.001282553087</v>
      </c>
      <c r="X29" s="156">
        <v>29573.715189873416</v>
      </c>
      <c r="Y29" s="156">
        <v>29967.863046963008</v>
      </c>
      <c r="Z29" s="156">
        <v>30367.263965166181</v>
      </c>
      <c r="AA29" s="156">
        <v>30771.987955395281</v>
      </c>
      <c r="AB29" s="156">
        <v>31182.105961642887</v>
      </c>
      <c r="AC29" s="156">
        <v>31597.689873417723</v>
      </c>
      <c r="AD29" s="156">
        <v>31984.002274223785</v>
      </c>
      <c r="AE29" s="156">
        <v>32375.037718759133</v>
      </c>
      <c r="AF29" s="156">
        <v>32770.853950813573</v>
      </c>
      <c r="AG29" s="156">
        <v>33171.509420150724</v>
      </c>
      <c r="AH29" s="156">
        <v>33577.063291139231</v>
      </c>
      <c r="AI29" s="156">
        <v>33987.575451489603</v>
      </c>
      <c r="AJ29" s="156">
        <v>34403.106521097565</v>
      </c>
      <c r="AK29" s="156">
        <v>34823.717860995959</v>
      </c>
      <c r="AL29" s="156">
        <v>35249.47158241571</v>
      </c>
      <c r="AM29" s="156">
        <v>35680.430555957748</v>
      </c>
      <c r="AN29" s="156">
        <v>36116.658420877153</v>
      </c>
      <c r="AO29" s="156">
        <v>36558.219594480528</v>
      </c>
      <c r="AP29" s="156">
        <v>37005.179281638564</v>
      </c>
      <c r="AQ29" s="156">
        <v>37457.603484414707</v>
      </c>
      <c r="AR29" s="156">
        <v>37915.55901181166</v>
      </c>
    </row>
    <row r="30" spans="1:44" x14ac:dyDescent="0.2">
      <c r="B30" s="157"/>
      <c r="C30" s="158" t="s">
        <v>84</v>
      </c>
      <c r="D30" s="159"/>
      <c r="E30" s="158"/>
      <c r="F30" s="158"/>
      <c r="G30" s="169"/>
      <c r="H30" s="170">
        <v>59009.633054508689</v>
      </c>
      <c r="I30" s="170">
        <v>60019.438135230012</v>
      </c>
      <c r="J30" s="170">
        <v>61046.523552199331</v>
      </c>
      <c r="K30" s="170">
        <v>62091.185015971554</v>
      </c>
      <c r="L30" s="170">
        <v>63153.723297462304</v>
      </c>
      <c r="M30" s="170">
        <v>63153.723297462304</v>
      </c>
      <c r="N30" s="160">
        <v>64234.444314543318</v>
      </c>
      <c r="O30" s="160">
        <v>65260.128877916824</v>
      </c>
      <c r="P30" s="160">
        <v>66302.191396058508</v>
      </c>
      <c r="Q30" s="160">
        <v>67360.893389334349</v>
      </c>
      <c r="R30" s="160">
        <v>68436.500554022583</v>
      </c>
      <c r="S30" s="160">
        <v>69529.282828993892</v>
      </c>
      <c r="T30" s="160">
        <v>70554.457770072157</v>
      </c>
      <c r="U30" s="160">
        <v>71594.748409415304</v>
      </c>
      <c r="V30" s="160">
        <v>72650.377620529936</v>
      </c>
      <c r="W30" s="160">
        <v>73721.571563082471</v>
      </c>
      <c r="X30" s="160">
        <v>74808.559731352027</v>
      </c>
      <c r="Y30" s="160">
        <v>75805.581354126276</v>
      </c>
      <c r="Z30" s="160">
        <v>76815.890923090745</v>
      </c>
      <c r="AA30" s="160">
        <v>77839.665535221051</v>
      </c>
      <c r="AB30" s="160">
        <v>78877.084647777563</v>
      </c>
      <c r="AC30" s="160">
        <v>79928.330109762726</v>
      </c>
      <c r="AD30" s="160">
        <v>80905.531456469354</v>
      </c>
      <c r="AE30" s="160">
        <v>81894.68003728801</v>
      </c>
      <c r="AF30" s="160">
        <v>82895.92191874166</v>
      </c>
      <c r="AG30" s="160">
        <v>83909.404953158111</v>
      </c>
      <c r="AH30" s="160">
        <v>84935.278800503263</v>
      </c>
      <c r="AI30" s="160">
        <v>85973.694950481324</v>
      </c>
      <c r="AJ30" s="160">
        <v>87024.806744904927</v>
      </c>
      <c r="AK30" s="160">
        <v>88088.769400339166</v>
      </c>
      <c r="AL30" s="160">
        <v>89165.740031022055</v>
      </c>
      <c r="AM30" s="160">
        <v>90255.877672065602</v>
      </c>
      <c r="AN30" s="160">
        <v>91359.343302940339</v>
      </c>
      <c r="AO30" s="160">
        <v>92476.299871246796</v>
      </c>
      <c r="AP30" s="160">
        <v>93606.912316778093</v>
      </c>
      <c r="AQ30" s="160">
        <v>94751.347595876112</v>
      </c>
      <c r="AR30" s="160">
        <v>95909.774706086057</v>
      </c>
    </row>
    <row r="31" spans="1:44" x14ac:dyDescent="0.2">
      <c r="B31" s="171"/>
      <c r="C31" s="172"/>
      <c r="D31" s="173"/>
      <c r="E31" s="172"/>
      <c r="F31" s="172"/>
      <c r="G31" s="171"/>
      <c r="H31" s="171"/>
      <c r="I31" s="174"/>
      <c r="J31" s="174"/>
      <c r="K31" s="174"/>
      <c r="L31" s="175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  <c r="AA31" s="176"/>
      <c r="AB31" s="176"/>
      <c r="AC31" s="176"/>
      <c r="AD31" s="176"/>
      <c r="AE31" s="176"/>
      <c r="AF31" s="176"/>
      <c r="AG31" s="176"/>
      <c r="AH31" s="176"/>
      <c r="AI31" s="176"/>
      <c r="AJ31" s="176"/>
      <c r="AK31" s="176"/>
      <c r="AL31" s="176"/>
      <c r="AM31" s="176"/>
      <c r="AN31" s="176"/>
      <c r="AO31" s="176"/>
      <c r="AP31" s="176"/>
      <c r="AQ31" s="176"/>
      <c r="AR31" s="176"/>
    </row>
    <row r="32" spans="1:44" x14ac:dyDescent="0.2">
      <c r="B32" s="139"/>
      <c r="C32" s="140" t="s">
        <v>235</v>
      </c>
      <c r="D32" s="141"/>
      <c r="E32" s="140"/>
      <c r="F32" s="140"/>
      <c r="G32" s="142"/>
      <c r="H32" s="142"/>
      <c r="I32" s="142"/>
      <c r="J32" s="142"/>
      <c r="K32" s="142"/>
      <c r="L32" s="143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0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4"/>
      <c r="AM32" s="144"/>
      <c r="AN32" s="144"/>
      <c r="AO32" s="144"/>
      <c r="AP32" s="144"/>
      <c r="AQ32" s="144"/>
      <c r="AR32" s="144"/>
    </row>
    <row r="33" spans="1:44" x14ac:dyDescent="0.2">
      <c r="A33" s="145"/>
      <c r="B33" s="146"/>
      <c r="C33" s="146" t="s">
        <v>218</v>
      </c>
      <c r="D33" s="147" t="s">
        <v>219</v>
      </c>
      <c r="E33" s="146"/>
      <c r="F33" s="146"/>
      <c r="G33" s="148">
        <v>2019</v>
      </c>
      <c r="H33" s="148">
        <v>2020</v>
      </c>
      <c r="I33" s="148">
        <v>2021</v>
      </c>
      <c r="J33" s="148">
        <v>2022</v>
      </c>
      <c r="K33" s="148">
        <v>2023</v>
      </c>
      <c r="L33" s="149">
        <v>45352</v>
      </c>
      <c r="M33" s="148">
        <v>2024</v>
      </c>
      <c r="N33" s="146">
        <v>2025</v>
      </c>
      <c r="O33" s="146">
        <v>2026</v>
      </c>
      <c r="P33" s="146">
        <v>2027</v>
      </c>
      <c r="Q33" s="146">
        <v>2028</v>
      </c>
      <c r="R33" s="146">
        <v>2029</v>
      </c>
      <c r="S33" s="146">
        <v>2030</v>
      </c>
      <c r="T33" s="146">
        <v>2031</v>
      </c>
      <c r="U33" s="146">
        <v>2032</v>
      </c>
      <c r="V33" s="146">
        <v>2033</v>
      </c>
      <c r="W33" s="146">
        <v>2034</v>
      </c>
      <c r="X33" s="146">
        <v>2035</v>
      </c>
      <c r="Y33" s="146">
        <v>2036</v>
      </c>
      <c r="Z33" s="146">
        <v>2037</v>
      </c>
      <c r="AA33" s="146">
        <v>2038</v>
      </c>
      <c r="AB33" s="146">
        <v>2039</v>
      </c>
      <c r="AC33" s="146">
        <v>2040</v>
      </c>
      <c r="AD33" s="146">
        <v>2041</v>
      </c>
      <c r="AE33" s="146">
        <v>2042</v>
      </c>
      <c r="AF33" s="146">
        <v>2043</v>
      </c>
      <c r="AG33" s="146">
        <v>2044</v>
      </c>
      <c r="AH33" s="146">
        <v>2045</v>
      </c>
      <c r="AI33" s="146">
        <v>2046</v>
      </c>
      <c r="AJ33" s="146">
        <v>2047</v>
      </c>
      <c r="AK33" s="146">
        <v>2048</v>
      </c>
      <c r="AL33" s="146">
        <v>2049</v>
      </c>
      <c r="AM33" s="146">
        <v>2050</v>
      </c>
      <c r="AN33" s="146">
        <v>2051</v>
      </c>
      <c r="AO33" s="146">
        <v>2052</v>
      </c>
      <c r="AP33" s="146">
        <v>2053</v>
      </c>
      <c r="AQ33" s="146">
        <v>2054</v>
      </c>
      <c r="AR33" s="146">
        <v>2055</v>
      </c>
    </row>
    <row r="34" spans="1:44" x14ac:dyDescent="0.2">
      <c r="B34" s="150"/>
      <c r="C34" s="150"/>
      <c r="D34" s="151"/>
      <c r="E34" s="150"/>
      <c r="F34" s="150"/>
      <c r="G34" s="152"/>
      <c r="H34" s="152"/>
      <c r="I34" s="152"/>
      <c r="J34" s="152"/>
      <c r="K34" s="152"/>
      <c r="L34" s="153"/>
      <c r="M34" s="152"/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  <c r="AB34" s="150"/>
      <c r="AC34" s="150"/>
      <c r="AD34" s="150"/>
      <c r="AE34" s="150"/>
      <c r="AF34" s="150"/>
      <c r="AG34" s="150"/>
      <c r="AH34" s="150"/>
      <c r="AI34" s="150"/>
      <c r="AJ34" s="150"/>
      <c r="AK34" s="150"/>
      <c r="AL34" s="150"/>
      <c r="AM34" s="150"/>
      <c r="AN34" s="150"/>
      <c r="AO34" s="150"/>
      <c r="AP34" s="150"/>
      <c r="AQ34" s="150"/>
      <c r="AR34" s="150"/>
    </row>
    <row r="35" spans="1:44" x14ac:dyDescent="0.2">
      <c r="B35" s="150"/>
      <c r="C35" s="150"/>
      <c r="D35" s="151"/>
      <c r="E35" s="150"/>
      <c r="F35" s="150"/>
      <c r="G35" s="152"/>
      <c r="H35" s="152"/>
      <c r="I35" s="152"/>
      <c r="J35" s="152"/>
      <c r="K35" s="152"/>
      <c r="L35" s="153"/>
      <c r="M35" s="152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  <c r="Y35" s="150"/>
      <c r="Z35" s="150"/>
      <c r="AA35" s="150"/>
      <c r="AB35" s="150"/>
      <c r="AC35" s="150"/>
      <c r="AD35" s="150"/>
      <c r="AE35" s="150"/>
      <c r="AF35" s="150"/>
      <c r="AG35" s="150"/>
      <c r="AH35" s="150"/>
      <c r="AI35" s="150"/>
      <c r="AJ35" s="150"/>
      <c r="AK35" s="150"/>
      <c r="AL35" s="150"/>
      <c r="AM35" s="150"/>
      <c r="AN35" s="150"/>
      <c r="AO35" s="150"/>
      <c r="AP35" s="150"/>
      <c r="AQ35" s="150"/>
      <c r="AR35" s="150"/>
    </row>
    <row r="36" spans="1:44" x14ac:dyDescent="0.2">
      <c r="B36" s="154">
        <v>1</v>
      </c>
      <c r="C36" s="137" t="s">
        <v>220</v>
      </c>
      <c r="D36" s="155" t="s">
        <v>221</v>
      </c>
      <c r="G36" s="177">
        <v>4.3</v>
      </c>
      <c r="H36" s="178">
        <v>4.3</v>
      </c>
      <c r="I36" s="178">
        <v>4.3</v>
      </c>
      <c r="J36" s="178">
        <v>4.3</v>
      </c>
      <c r="K36" s="178">
        <v>4.3</v>
      </c>
      <c r="L36" s="178">
        <v>4.3</v>
      </c>
      <c r="M36" s="178">
        <v>4.3</v>
      </c>
      <c r="N36" s="178">
        <v>4.3</v>
      </c>
      <c r="O36" s="178">
        <v>4.3</v>
      </c>
      <c r="P36" s="178">
        <v>4.3</v>
      </c>
      <c r="Q36" s="178">
        <v>4.3</v>
      </c>
      <c r="R36" s="178">
        <v>4.3</v>
      </c>
      <c r="S36" s="178">
        <v>4.3</v>
      </c>
      <c r="T36" s="178">
        <v>4.3</v>
      </c>
      <c r="U36" s="178">
        <v>4.3</v>
      </c>
      <c r="V36" s="178">
        <v>4.3</v>
      </c>
      <c r="W36" s="178">
        <v>4.3</v>
      </c>
      <c r="X36" s="178">
        <v>4.3</v>
      </c>
      <c r="Y36" s="178">
        <v>4.3</v>
      </c>
      <c r="Z36" s="178">
        <v>4.3</v>
      </c>
      <c r="AA36" s="178">
        <v>4.3</v>
      </c>
      <c r="AB36" s="178">
        <v>4.3</v>
      </c>
      <c r="AC36" s="178">
        <v>4.3</v>
      </c>
      <c r="AD36" s="178">
        <v>4.3</v>
      </c>
      <c r="AE36" s="178">
        <v>4.3</v>
      </c>
      <c r="AF36" s="178">
        <v>4.3</v>
      </c>
      <c r="AG36" s="178">
        <v>4.3</v>
      </c>
      <c r="AH36" s="178">
        <v>4.3</v>
      </c>
      <c r="AI36" s="178">
        <v>4.3</v>
      </c>
      <c r="AJ36" s="178">
        <v>4.3</v>
      </c>
      <c r="AK36" s="178">
        <v>4.3</v>
      </c>
      <c r="AL36" s="178">
        <v>4.3</v>
      </c>
      <c r="AM36" s="178">
        <v>4.3</v>
      </c>
      <c r="AN36" s="178">
        <v>4.3</v>
      </c>
      <c r="AO36" s="178">
        <v>4.3</v>
      </c>
      <c r="AP36" s="178">
        <v>4.3</v>
      </c>
      <c r="AQ36" s="178">
        <v>4.3</v>
      </c>
      <c r="AR36" s="178">
        <v>4.3</v>
      </c>
    </row>
    <row r="37" spans="1:44" x14ac:dyDescent="0.2">
      <c r="B37" s="154">
        <v>2</v>
      </c>
      <c r="C37" s="137" t="s">
        <v>222</v>
      </c>
      <c r="D37" s="155" t="s">
        <v>223</v>
      </c>
      <c r="G37" s="177">
        <v>4.4000000000000004</v>
      </c>
      <c r="H37" s="178">
        <v>4.4000000000000004</v>
      </c>
      <c r="I37" s="178">
        <v>4.4000000000000004</v>
      </c>
      <c r="J37" s="178">
        <v>4.4000000000000004</v>
      </c>
      <c r="K37" s="178">
        <v>4.4000000000000004</v>
      </c>
      <c r="L37" s="178">
        <v>4.4000000000000004</v>
      </c>
      <c r="M37" s="178">
        <v>4.4000000000000004</v>
      </c>
      <c r="N37" s="178">
        <v>4.4000000000000004</v>
      </c>
      <c r="O37" s="178">
        <v>4.4000000000000004</v>
      </c>
      <c r="P37" s="178">
        <v>4.4000000000000004</v>
      </c>
      <c r="Q37" s="178">
        <v>4.4000000000000004</v>
      </c>
      <c r="R37" s="178">
        <v>4.4000000000000004</v>
      </c>
      <c r="S37" s="178">
        <v>4.4000000000000004</v>
      </c>
      <c r="T37" s="178">
        <v>4.4000000000000004</v>
      </c>
      <c r="U37" s="178">
        <v>4.4000000000000004</v>
      </c>
      <c r="V37" s="178">
        <v>4.4000000000000004</v>
      </c>
      <c r="W37" s="178">
        <v>4.4000000000000004</v>
      </c>
      <c r="X37" s="178">
        <v>4.4000000000000004</v>
      </c>
      <c r="Y37" s="178">
        <v>4.4000000000000004</v>
      </c>
      <c r="Z37" s="178">
        <v>4.4000000000000004</v>
      </c>
      <c r="AA37" s="178">
        <v>4.4000000000000004</v>
      </c>
      <c r="AB37" s="178">
        <v>4.4000000000000004</v>
      </c>
      <c r="AC37" s="178">
        <v>4.4000000000000004</v>
      </c>
      <c r="AD37" s="178">
        <v>4.4000000000000004</v>
      </c>
      <c r="AE37" s="178">
        <v>4.4000000000000004</v>
      </c>
      <c r="AF37" s="178">
        <v>4.4000000000000004</v>
      </c>
      <c r="AG37" s="178">
        <v>4.4000000000000004</v>
      </c>
      <c r="AH37" s="178">
        <v>4.4000000000000004</v>
      </c>
      <c r="AI37" s="178">
        <v>4.4000000000000004</v>
      </c>
      <c r="AJ37" s="178">
        <v>4.4000000000000004</v>
      </c>
      <c r="AK37" s="178">
        <v>4.4000000000000004</v>
      </c>
      <c r="AL37" s="178">
        <v>4.4000000000000004</v>
      </c>
      <c r="AM37" s="178">
        <v>4.4000000000000004</v>
      </c>
      <c r="AN37" s="178">
        <v>4.4000000000000004</v>
      </c>
      <c r="AO37" s="178">
        <v>4.4000000000000004</v>
      </c>
      <c r="AP37" s="178">
        <v>4.4000000000000004</v>
      </c>
      <c r="AQ37" s="178">
        <v>4.4000000000000004</v>
      </c>
      <c r="AR37" s="178">
        <v>4.4000000000000004</v>
      </c>
    </row>
    <row r="38" spans="1:44" x14ac:dyDescent="0.2">
      <c r="B38" s="154">
        <v>3</v>
      </c>
      <c r="C38" s="137" t="s">
        <v>224</v>
      </c>
      <c r="D38" s="155" t="s">
        <v>225</v>
      </c>
      <c r="G38" s="177">
        <v>4.3</v>
      </c>
      <c r="H38" s="178">
        <v>4.3</v>
      </c>
      <c r="I38" s="178">
        <v>4.3</v>
      </c>
      <c r="J38" s="178">
        <v>4.3</v>
      </c>
      <c r="K38" s="178">
        <v>4.3</v>
      </c>
      <c r="L38" s="178">
        <v>4.3</v>
      </c>
      <c r="M38" s="178">
        <v>4.3</v>
      </c>
      <c r="N38" s="178">
        <v>4.3</v>
      </c>
      <c r="O38" s="178">
        <v>4.3</v>
      </c>
      <c r="P38" s="178">
        <v>4.3</v>
      </c>
      <c r="Q38" s="178">
        <v>4.3</v>
      </c>
      <c r="R38" s="178">
        <v>4.3</v>
      </c>
      <c r="S38" s="178">
        <v>4.3</v>
      </c>
      <c r="T38" s="178">
        <v>4.3</v>
      </c>
      <c r="U38" s="178">
        <v>4.3</v>
      </c>
      <c r="V38" s="178">
        <v>4.3</v>
      </c>
      <c r="W38" s="178">
        <v>4.3</v>
      </c>
      <c r="X38" s="178">
        <v>4.3</v>
      </c>
      <c r="Y38" s="178">
        <v>4.3</v>
      </c>
      <c r="Z38" s="178">
        <v>4.3</v>
      </c>
      <c r="AA38" s="178">
        <v>4.3</v>
      </c>
      <c r="AB38" s="178">
        <v>4.3</v>
      </c>
      <c r="AC38" s="178">
        <v>4.3</v>
      </c>
      <c r="AD38" s="178">
        <v>4.3</v>
      </c>
      <c r="AE38" s="178">
        <v>4.3</v>
      </c>
      <c r="AF38" s="178">
        <v>4.3</v>
      </c>
      <c r="AG38" s="178">
        <v>4.3</v>
      </c>
      <c r="AH38" s="178">
        <v>4.3</v>
      </c>
      <c r="AI38" s="178">
        <v>4.3</v>
      </c>
      <c r="AJ38" s="178">
        <v>4.3</v>
      </c>
      <c r="AK38" s="178">
        <v>4.3</v>
      </c>
      <c r="AL38" s="178">
        <v>4.3</v>
      </c>
      <c r="AM38" s="178">
        <v>4.3</v>
      </c>
      <c r="AN38" s="178">
        <v>4.3</v>
      </c>
      <c r="AO38" s="178">
        <v>4.3</v>
      </c>
      <c r="AP38" s="178">
        <v>4.3</v>
      </c>
      <c r="AQ38" s="178">
        <v>4.3</v>
      </c>
      <c r="AR38" s="178">
        <v>4.3</v>
      </c>
    </row>
    <row r="39" spans="1:44" x14ac:dyDescent="0.2">
      <c r="B39" s="154">
        <v>4</v>
      </c>
      <c r="C39" s="137" t="s">
        <v>226</v>
      </c>
      <c r="D39" s="155" t="s">
        <v>227</v>
      </c>
      <c r="G39" s="177">
        <v>4.5999999999999996</v>
      </c>
      <c r="H39" s="178">
        <v>4.5999999999999996</v>
      </c>
      <c r="I39" s="178">
        <v>4.5999999999999996</v>
      </c>
      <c r="J39" s="178">
        <v>4.5999999999999996</v>
      </c>
      <c r="K39" s="178">
        <v>4.5999999999999996</v>
      </c>
      <c r="L39" s="178">
        <v>4.5999999999999996</v>
      </c>
      <c r="M39" s="178">
        <v>4.5999999999999996</v>
      </c>
      <c r="N39" s="178">
        <v>4.5999999999999996</v>
      </c>
      <c r="O39" s="178">
        <v>4.5999999999999996</v>
      </c>
      <c r="P39" s="178">
        <v>4.5999999999999996</v>
      </c>
      <c r="Q39" s="178">
        <v>4.5999999999999996</v>
      </c>
      <c r="R39" s="178">
        <v>4.5999999999999996</v>
      </c>
      <c r="S39" s="178">
        <v>4.5999999999999996</v>
      </c>
      <c r="T39" s="178">
        <v>4.5999999999999996</v>
      </c>
      <c r="U39" s="178">
        <v>4.5999999999999996</v>
      </c>
      <c r="V39" s="178">
        <v>4.5999999999999996</v>
      </c>
      <c r="W39" s="178">
        <v>4.5999999999999996</v>
      </c>
      <c r="X39" s="178">
        <v>4.5999999999999996</v>
      </c>
      <c r="Y39" s="178">
        <v>4.5999999999999996</v>
      </c>
      <c r="Z39" s="178">
        <v>4.5999999999999996</v>
      </c>
      <c r="AA39" s="178">
        <v>4.5999999999999996</v>
      </c>
      <c r="AB39" s="178">
        <v>4.5999999999999996</v>
      </c>
      <c r="AC39" s="178">
        <v>4.5999999999999996</v>
      </c>
      <c r="AD39" s="178">
        <v>4.5999999999999996</v>
      </c>
      <c r="AE39" s="178">
        <v>4.5999999999999996</v>
      </c>
      <c r="AF39" s="178">
        <v>4.5999999999999996</v>
      </c>
      <c r="AG39" s="178">
        <v>4.5999999999999996</v>
      </c>
      <c r="AH39" s="178">
        <v>4.5999999999999996</v>
      </c>
      <c r="AI39" s="178">
        <v>4.5999999999999996</v>
      </c>
      <c r="AJ39" s="178">
        <v>4.5999999999999996</v>
      </c>
      <c r="AK39" s="178">
        <v>4.5999999999999996</v>
      </c>
      <c r="AL39" s="178">
        <v>4.5999999999999996</v>
      </c>
      <c r="AM39" s="178">
        <v>4.5999999999999996</v>
      </c>
      <c r="AN39" s="178">
        <v>4.5999999999999996</v>
      </c>
      <c r="AO39" s="178">
        <v>4.5999999999999996</v>
      </c>
      <c r="AP39" s="178">
        <v>4.5999999999999996</v>
      </c>
      <c r="AQ39" s="178">
        <v>4.5999999999999996</v>
      </c>
      <c r="AR39" s="178">
        <v>4.5999999999999996</v>
      </c>
    </row>
    <row r="40" spans="1:44" x14ac:dyDescent="0.2">
      <c r="B40" s="154">
        <v>5</v>
      </c>
      <c r="C40" s="137" t="s">
        <v>228</v>
      </c>
      <c r="D40" s="155" t="s">
        <v>221</v>
      </c>
      <c r="G40" s="177">
        <v>4.4000000000000004</v>
      </c>
      <c r="H40" s="178">
        <v>4.4000000000000004</v>
      </c>
      <c r="I40" s="178">
        <v>4.4000000000000004</v>
      </c>
      <c r="J40" s="178">
        <v>4.4000000000000004</v>
      </c>
      <c r="K40" s="178">
        <v>4.4000000000000004</v>
      </c>
      <c r="L40" s="178">
        <v>4.4000000000000004</v>
      </c>
      <c r="M40" s="178">
        <v>4.4000000000000004</v>
      </c>
      <c r="N40" s="178">
        <v>4.4000000000000004</v>
      </c>
      <c r="O40" s="178">
        <v>4.4000000000000004</v>
      </c>
      <c r="P40" s="178">
        <v>4.4000000000000004</v>
      </c>
      <c r="Q40" s="178">
        <v>4.4000000000000004</v>
      </c>
      <c r="R40" s="178">
        <v>4.4000000000000004</v>
      </c>
      <c r="S40" s="178">
        <v>4.4000000000000004</v>
      </c>
      <c r="T40" s="178">
        <v>4.4000000000000004</v>
      </c>
      <c r="U40" s="178">
        <v>4.4000000000000004</v>
      </c>
      <c r="V40" s="178">
        <v>4.4000000000000004</v>
      </c>
      <c r="W40" s="178">
        <v>4.4000000000000004</v>
      </c>
      <c r="X40" s="178">
        <v>4.4000000000000004</v>
      </c>
      <c r="Y40" s="178">
        <v>4.4000000000000004</v>
      </c>
      <c r="Z40" s="178">
        <v>4.4000000000000004</v>
      </c>
      <c r="AA40" s="178">
        <v>4.4000000000000004</v>
      </c>
      <c r="AB40" s="178">
        <v>4.4000000000000004</v>
      </c>
      <c r="AC40" s="178">
        <v>4.4000000000000004</v>
      </c>
      <c r="AD40" s="178">
        <v>4.4000000000000004</v>
      </c>
      <c r="AE40" s="178">
        <v>4.4000000000000004</v>
      </c>
      <c r="AF40" s="178">
        <v>4.4000000000000004</v>
      </c>
      <c r="AG40" s="178">
        <v>4.4000000000000004</v>
      </c>
      <c r="AH40" s="178">
        <v>4.4000000000000004</v>
      </c>
      <c r="AI40" s="178">
        <v>4.4000000000000004</v>
      </c>
      <c r="AJ40" s="178">
        <v>4.4000000000000004</v>
      </c>
      <c r="AK40" s="178">
        <v>4.4000000000000004</v>
      </c>
      <c r="AL40" s="178">
        <v>4.4000000000000004</v>
      </c>
      <c r="AM40" s="178">
        <v>4.4000000000000004</v>
      </c>
      <c r="AN40" s="178">
        <v>4.4000000000000004</v>
      </c>
      <c r="AO40" s="178">
        <v>4.4000000000000004</v>
      </c>
      <c r="AP40" s="178">
        <v>4.4000000000000004</v>
      </c>
      <c r="AQ40" s="178">
        <v>4.4000000000000004</v>
      </c>
      <c r="AR40" s="178">
        <v>4.4000000000000004</v>
      </c>
    </row>
    <row r="41" spans="1:44" x14ac:dyDescent="0.2">
      <c r="B41" s="154">
        <v>6</v>
      </c>
      <c r="C41" s="137" t="s">
        <v>229</v>
      </c>
      <c r="D41" s="155" t="s">
        <v>230</v>
      </c>
      <c r="G41" s="177">
        <v>4.5999999999999996</v>
      </c>
      <c r="H41" s="178">
        <v>4.5999999999999996</v>
      </c>
      <c r="I41" s="178">
        <v>4.5999999999999996</v>
      </c>
      <c r="J41" s="178">
        <v>4.5999999999999996</v>
      </c>
      <c r="K41" s="178">
        <v>4.5999999999999996</v>
      </c>
      <c r="L41" s="178">
        <v>4.5999999999999996</v>
      </c>
      <c r="M41" s="178">
        <v>4.5999999999999996</v>
      </c>
      <c r="N41" s="178">
        <v>4.5999999999999996</v>
      </c>
      <c r="O41" s="178">
        <v>4.5999999999999996</v>
      </c>
      <c r="P41" s="178">
        <v>4.5999999999999996</v>
      </c>
      <c r="Q41" s="178">
        <v>4.5999999999999996</v>
      </c>
      <c r="R41" s="178">
        <v>4.5999999999999996</v>
      </c>
      <c r="S41" s="178">
        <v>4.5999999999999996</v>
      </c>
      <c r="T41" s="178">
        <v>4.5999999999999996</v>
      </c>
      <c r="U41" s="178">
        <v>4.5999999999999996</v>
      </c>
      <c r="V41" s="178">
        <v>4.5999999999999996</v>
      </c>
      <c r="W41" s="178">
        <v>4.5999999999999996</v>
      </c>
      <c r="X41" s="178">
        <v>4.5999999999999996</v>
      </c>
      <c r="Y41" s="178">
        <v>4.5999999999999996</v>
      </c>
      <c r="Z41" s="178">
        <v>4.5999999999999996</v>
      </c>
      <c r="AA41" s="178">
        <v>4.5999999999999996</v>
      </c>
      <c r="AB41" s="178">
        <v>4.5999999999999996</v>
      </c>
      <c r="AC41" s="178">
        <v>4.5999999999999996</v>
      </c>
      <c r="AD41" s="178">
        <v>4.5999999999999996</v>
      </c>
      <c r="AE41" s="178">
        <v>4.5999999999999996</v>
      </c>
      <c r="AF41" s="178">
        <v>4.5999999999999996</v>
      </c>
      <c r="AG41" s="178">
        <v>4.5999999999999996</v>
      </c>
      <c r="AH41" s="178">
        <v>4.5999999999999996</v>
      </c>
      <c r="AI41" s="178">
        <v>4.5999999999999996</v>
      </c>
      <c r="AJ41" s="178">
        <v>4.5999999999999996</v>
      </c>
      <c r="AK41" s="178">
        <v>4.5999999999999996</v>
      </c>
      <c r="AL41" s="178">
        <v>4.5999999999999996</v>
      </c>
      <c r="AM41" s="178">
        <v>4.5999999999999996</v>
      </c>
      <c r="AN41" s="178">
        <v>4.5999999999999996</v>
      </c>
      <c r="AO41" s="178">
        <v>4.5999999999999996</v>
      </c>
      <c r="AP41" s="178">
        <v>4.5999999999999996</v>
      </c>
      <c r="AQ41" s="178">
        <v>4.5999999999999996</v>
      </c>
      <c r="AR41" s="178">
        <v>4.5999999999999996</v>
      </c>
    </row>
    <row r="42" spans="1:44" x14ac:dyDescent="0.2">
      <c r="B42" s="154">
        <v>7</v>
      </c>
      <c r="C42" s="137" t="s">
        <v>231</v>
      </c>
      <c r="D42" s="155" t="s">
        <v>225</v>
      </c>
      <c r="G42" s="177">
        <v>4</v>
      </c>
      <c r="H42" s="178">
        <v>4</v>
      </c>
      <c r="I42" s="178">
        <v>4</v>
      </c>
      <c r="J42" s="178">
        <v>4</v>
      </c>
      <c r="K42" s="178">
        <v>4</v>
      </c>
      <c r="L42" s="178">
        <v>4</v>
      </c>
      <c r="M42" s="178">
        <v>4</v>
      </c>
      <c r="N42" s="178">
        <v>4</v>
      </c>
      <c r="O42" s="178">
        <v>4</v>
      </c>
      <c r="P42" s="178">
        <v>4</v>
      </c>
      <c r="Q42" s="178">
        <v>4</v>
      </c>
      <c r="R42" s="178">
        <v>4</v>
      </c>
      <c r="S42" s="178">
        <v>4</v>
      </c>
      <c r="T42" s="178">
        <v>4</v>
      </c>
      <c r="U42" s="178">
        <v>4</v>
      </c>
      <c r="V42" s="178">
        <v>4</v>
      </c>
      <c r="W42" s="178">
        <v>4</v>
      </c>
      <c r="X42" s="178">
        <v>4</v>
      </c>
      <c r="Y42" s="178">
        <v>4</v>
      </c>
      <c r="Z42" s="178">
        <v>4</v>
      </c>
      <c r="AA42" s="178">
        <v>4</v>
      </c>
      <c r="AB42" s="178">
        <v>4</v>
      </c>
      <c r="AC42" s="178">
        <v>4</v>
      </c>
      <c r="AD42" s="178">
        <v>4</v>
      </c>
      <c r="AE42" s="178">
        <v>4</v>
      </c>
      <c r="AF42" s="178">
        <v>4</v>
      </c>
      <c r="AG42" s="178">
        <v>4</v>
      </c>
      <c r="AH42" s="178">
        <v>4</v>
      </c>
      <c r="AI42" s="178">
        <v>4</v>
      </c>
      <c r="AJ42" s="178">
        <v>4</v>
      </c>
      <c r="AK42" s="178">
        <v>4</v>
      </c>
      <c r="AL42" s="178">
        <v>4</v>
      </c>
      <c r="AM42" s="178">
        <v>4</v>
      </c>
      <c r="AN42" s="178">
        <v>4</v>
      </c>
      <c r="AO42" s="178">
        <v>4</v>
      </c>
      <c r="AP42" s="178">
        <v>4</v>
      </c>
      <c r="AQ42" s="178">
        <v>4</v>
      </c>
      <c r="AR42" s="178">
        <v>4</v>
      </c>
    </row>
    <row r="43" spans="1:44" x14ac:dyDescent="0.2">
      <c r="B43" s="154">
        <v>8</v>
      </c>
      <c r="C43" s="137" t="s">
        <v>232</v>
      </c>
      <c r="D43" s="155" t="s">
        <v>233</v>
      </c>
      <c r="G43" s="177">
        <v>4.5</v>
      </c>
      <c r="H43" s="178">
        <v>4.5</v>
      </c>
      <c r="I43" s="178">
        <v>4.5</v>
      </c>
      <c r="J43" s="178">
        <v>4.5</v>
      </c>
      <c r="K43" s="178">
        <v>4.5</v>
      </c>
      <c r="L43" s="178">
        <v>4.5</v>
      </c>
      <c r="M43" s="178">
        <v>4.5</v>
      </c>
      <c r="N43" s="178">
        <v>4.5</v>
      </c>
      <c r="O43" s="178">
        <v>4.5</v>
      </c>
      <c r="P43" s="178">
        <v>4.5</v>
      </c>
      <c r="Q43" s="178">
        <v>4.5</v>
      </c>
      <c r="R43" s="178">
        <v>4.5</v>
      </c>
      <c r="S43" s="178">
        <v>4.5</v>
      </c>
      <c r="T43" s="178">
        <v>4.5</v>
      </c>
      <c r="U43" s="178">
        <v>4.5</v>
      </c>
      <c r="V43" s="178">
        <v>4.5</v>
      </c>
      <c r="W43" s="178">
        <v>4.5</v>
      </c>
      <c r="X43" s="178">
        <v>4.5</v>
      </c>
      <c r="Y43" s="178">
        <v>4.5</v>
      </c>
      <c r="Z43" s="178">
        <v>4.5</v>
      </c>
      <c r="AA43" s="178">
        <v>4.5</v>
      </c>
      <c r="AB43" s="178">
        <v>4.5</v>
      </c>
      <c r="AC43" s="178">
        <v>4.5</v>
      </c>
      <c r="AD43" s="178">
        <v>4.5</v>
      </c>
      <c r="AE43" s="178">
        <v>4.5</v>
      </c>
      <c r="AF43" s="178">
        <v>4.5</v>
      </c>
      <c r="AG43" s="178">
        <v>4.5</v>
      </c>
      <c r="AH43" s="178">
        <v>4.5</v>
      </c>
      <c r="AI43" s="178">
        <v>4.5</v>
      </c>
      <c r="AJ43" s="178">
        <v>4.5</v>
      </c>
      <c r="AK43" s="178">
        <v>4.5</v>
      </c>
      <c r="AL43" s="178">
        <v>4.5</v>
      </c>
      <c r="AM43" s="178">
        <v>4.5</v>
      </c>
      <c r="AN43" s="178">
        <v>4.5</v>
      </c>
      <c r="AO43" s="178">
        <v>4.5</v>
      </c>
      <c r="AP43" s="178">
        <v>4.5</v>
      </c>
      <c r="AQ43" s="178">
        <v>4.5</v>
      </c>
      <c r="AR43" s="178">
        <v>4.5</v>
      </c>
    </row>
    <row r="44" spans="1:44" x14ac:dyDescent="0.2">
      <c r="A44" s="179"/>
      <c r="B44" s="180"/>
      <c r="C44" s="181"/>
      <c r="D44" s="182"/>
      <c r="E44" s="181"/>
      <c r="F44" s="181"/>
      <c r="G44" s="183"/>
      <c r="H44" s="183"/>
      <c r="I44" s="183"/>
      <c r="J44" s="183"/>
      <c r="K44" s="183"/>
      <c r="L44" s="183">
        <v>4.4876910140312489</v>
      </c>
      <c r="M44" s="183">
        <v>4.4876910140312489</v>
      </c>
      <c r="N44" s="181">
        <v>4.4876910140312489</v>
      </c>
      <c r="O44" s="181">
        <v>4.4876910140312489</v>
      </c>
      <c r="P44" s="181">
        <v>4.4876910140312489</v>
      </c>
      <c r="Q44" s="181">
        <v>4.4876910140312489</v>
      </c>
      <c r="R44" s="181">
        <v>4.4876910140312489</v>
      </c>
      <c r="S44" s="181">
        <v>4.4876910140312489</v>
      </c>
      <c r="T44" s="181">
        <v>4.4876910140312489</v>
      </c>
      <c r="U44" s="181">
        <v>4.4876910140312489</v>
      </c>
      <c r="V44" s="181">
        <v>4.4876910140312489</v>
      </c>
      <c r="W44" s="181">
        <v>4.4876910140312489</v>
      </c>
      <c r="X44" s="181">
        <v>4.4876910140312489</v>
      </c>
      <c r="Y44" s="181">
        <v>4.4876910140312489</v>
      </c>
      <c r="Z44" s="181">
        <v>4.4876910140312489</v>
      </c>
      <c r="AA44" s="181">
        <v>4.4876910140312489</v>
      </c>
      <c r="AB44" s="181">
        <v>4.4876910140312489</v>
      </c>
      <c r="AC44" s="181">
        <v>4.4876910140312489</v>
      </c>
      <c r="AD44" s="181">
        <v>4.4876910140312489</v>
      </c>
      <c r="AE44" s="181">
        <v>4.4876910140312489</v>
      </c>
      <c r="AF44" s="181">
        <v>4.4876910140312489</v>
      </c>
      <c r="AG44" s="181">
        <v>4.4876910140312489</v>
      </c>
      <c r="AH44" s="181">
        <v>4.4876910140312489</v>
      </c>
      <c r="AI44" s="181">
        <v>4.4876910140312489</v>
      </c>
      <c r="AJ44" s="181">
        <v>4.4876910140312489</v>
      </c>
      <c r="AK44" s="181">
        <v>4.4876910140312489</v>
      </c>
      <c r="AL44" s="181">
        <v>4.4876910140312489</v>
      </c>
      <c r="AM44" s="181">
        <v>4.4876910140312489</v>
      </c>
      <c r="AN44" s="181">
        <v>4.4876910140312489</v>
      </c>
      <c r="AO44" s="181">
        <v>4.4876910140312489</v>
      </c>
      <c r="AP44" s="181">
        <v>4.4876910140312489</v>
      </c>
      <c r="AQ44" s="181">
        <v>4.4876910140312489</v>
      </c>
      <c r="AR44" s="181">
        <v>4.4876910140312489</v>
      </c>
    </row>
    <row r="45" spans="1:44" x14ac:dyDescent="0.2">
      <c r="B45" s="161"/>
      <c r="C45" s="162"/>
      <c r="D45" s="155"/>
      <c r="E45" s="162"/>
      <c r="F45" s="162"/>
      <c r="G45" s="161"/>
      <c r="H45" s="161"/>
      <c r="I45" s="163"/>
      <c r="J45" s="163"/>
      <c r="K45" s="163"/>
      <c r="L45" s="164"/>
      <c r="M45" s="165"/>
      <c r="N45" s="165"/>
      <c r="O45" s="165"/>
      <c r="P45" s="165"/>
      <c r="Q45" s="165"/>
      <c r="R45" s="165"/>
      <c r="S45" s="165"/>
      <c r="T45" s="165"/>
      <c r="U45" s="165"/>
      <c r="V45" s="165"/>
      <c r="W45" s="166"/>
      <c r="X45" s="165"/>
      <c r="Y45" s="165"/>
      <c r="Z45" s="165"/>
      <c r="AA45" s="165"/>
      <c r="AB45" s="165"/>
      <c r="AC45" s="165"/>
      <c r="AD45" s="165"/>
      <c r="AE45" s="165"/>
      <c r="AF45" s="165"/>
      <c r="AG45" s="165"/>
      <c r="AH45" s="165"/>
      <c r="AI45" s="165"/>
      <c r="AJ45" s="165"/>
      <c r="AK45" s="165"/>
      <c r="AL45" s="165"/>
      <c r="AM45" s="165"/>
      <c r="AN45" s="165"/>
      <c r="AO45" s="165"/>
      <c r="AP45" s="165"/>
      <c r="AQ45" s="165"/>
      <c r="AR45" s="165"/>
    </row>
    <row r="46" spans="1:44" x14ac:dyDescent="0.2">
      <c r="B46" s="139"/>
      <c r="C46" s="140" t="s">
        <v>236</v>
      </c>
      <c r="D46" s="141"/>
      <c r="E46" s="140"/>
      <c r="F46" s="140"/>
      <c r="G46" s="142"/>
      <c r="H46" s="142"/>
      <c r="I46" s="142"/>
      <c r="J46" s="142"/>
      <c r="K46" s="139"/>
      <c r="L46" s="143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0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4"/>
      <c r="AM46" s="144"/>
      <c r="AN46" s="144"/>
      <c r="AO46" s="144"/>
      <c r="AP46" s="144"/>
      <c r="AQ46" s="144"/>
      <c r="AR46" s="144"/>
    </row>
    <row r="47" spans="1:44" x14ac:dyDescent="0.2">
      <c r="A47" s="145"/>
      <c r="B47" s="146"/>
      <c r="C47" s="146" t="s">
        <v>218</v>
      </c>
      <c r="D47" s="147" t="s">
        <v>219</v>
      </c>
      <c r="E47" s="146"/>
      <c r="F47" s="146"/>
      <c r="G47" s="148">
        <v>2019</v>
      </c>
      <c r="H47" s="148">
        <v>2020</v>
      </c>
      <c r="I47" s="148">
        <v>2021</v>
      </c>
      <c r="J47" s="148">
        <v>2022</v>
      </c>
      <c r="K47" s="148">
        <v>2023</v>
      </c>
      <c r="L47" s="149">
        <v>45352</v>
      </c>
      <c r="M47" s="148">
        <v>2024</v>
      </c>
      <c r="N47" s="146">
        <v>2025</v>
      </c>
      <c r="O47" s="146">
        <v>2026</v>
      </c>
      <c r="P47" s="146">
        <v>2027</v>
      </c>
      <c r="Q47" s="146">
        <v>2028</v>
      </c>
      <c r="R47" s="146">
        <v>2029</v>
      </c>
      <c r="S47" s="146">
        <v>2030</v>
      </c>
      <c r="T47" s="146">
        <v>2031</v>
      </c>
      <c r="U47" s="146">
        <v>2032</v>
      </c>
      <c r="V47" s="146">
        <v>2033</v>
      </c>
      <c r="W47" s="146">
        <v>2034</v>
      </c>
      <c r="X47" s="146">
        <v>2035</v>
      </c>
      <c r="Y47" s="146">
        <v>2036</v>
      </c>
      <c r="Z47" s="146">
        <v>2037</v>
      </c>
      <c r="AA47" s="146">
        <v>2038</v>
      </c>
      <c r="AB47" s="146">
        <v>2039</v>
      </c>
      <c r="AC47" s="146">
        <v>2040</v>
      </c>
      <c r="AD47" s="146">
        <v>2041</v>
      </c>
      <c r="AE47" s="146">
        <v>2042</v>
      </c>
      <c r="AF47" s="146">
        <v>2043</v>
      </c>
      <c r="AG47" s="146">
        <v>2044</v>
      </c>
      <c r="AH47" s="146">
        <v>2045</v>
      </c>
      <c r="AI47" s="146">
        <v>2046</v>
      </c>
      <c r="AJ47" s="146">
        <v>2047</v>
      </c>
      <c r="AK47" s="146">
        <v>2048</v>
      </c>
      <c r="AL47" s="146">
        <v>2049</v>
      </c>
      <c r="AM47" s="146">
        <v>2050</v>
      </c>
      <c r="AN47" s="146">
        <v>2051</v>
      </c>
      <c r="AO47" s="146">
        <v>2052</v>
      </c>
      <c r="AP47" s="146">
        <v>2053</v>
      </c>
      <c r="AQ47" s="146">
        <v>2054</v>
      </c>
      <c r="AR47" s="146">
        <v>2055</v>
      </c>
    </row>
    <row r="48" spans="1:44" ht="75" x14ac:dyDescent="0.2">
      <c r="A48" s="184"/>
      <c r="B48" s="185"/>
      <c r="C48" s="185"/>
      <c r="D48" s="186"/>
      <c r="E48" s="185"/>
      <c r="F48" s="185"/>
      <c r="G48" s="187"/>
      <c r="H48" s="187"/>
      <c r="I48" s="187"/>
      <c r="J48" s="187"/>
      <c r="K48" s="188" t="s">
        <v>237</v>
      </c>
      <c r="L48" s="188" t="s">
        <v>237</v>
      </c>
      <c r="M48" s="188" t="s">
        <v>237</v>
      </c>
      <c r="N48" s="188" t="s">
        <v>238</v>
      </c>
      <c r="O48" s="185"/>
      <c r="P48" s="185"/>
      <c r="Q48" s="185"/>
      <c r="R48" s="185"/>
      <c r="S48" s="185"/>
      <c r="T48" s="185"/>
      <c r="U48" s="185"/>
      <c r="V48" s="185"/>
      <c r="W48" s="185"/>
      <c r="X48" s="185"/>
      <c r="Y48" s="185"/>
      <c r="Z48" s="185"/>
      <c r="AA48" s="185"/>
      <c r="AB48" s="185"/>
      <c r="AC48" s="185"/>
      <c r="AD48" s="185"/>
      <c r="AE48" s="185"/>
      <c r="AF48" s="185"/>
      <c r="AG48" s="185"/>
      <c r="AH48" s="185"/>
      <c r="AI48" s="185"/>
      <c r="AJ48" s="185"/>
      <c r="AK48" s="185"/>
      <c r="AL48" s="185"/>
      <c r="AM48" s="185"/>
      <c r="AN48" s="185"/>
      <c r="AO48" s="185"/>
      <c r="AP48" s="185"/>
      <c r="AQ48" s="185"/>
      <c r="AR48" s="185"/>
    </row>
    <row r="49" spans="1:44" x14ac:dyDescent="0.2">
      <c r="B49" s="150"/>
      <c r="C49" s="150"/>
      <c r="D49" s="151"/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  <c r="Z49" s="150"/>
      <c r="AA49" s="150"/>
      <c r="AB49" s="150"/>
      <c r="AC49" s="150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</row>
    <row r="50" spans="1:44" x14ac:dyDescent="0.2">
      <c r="B50" s="154">
        <v>1</v>
      </c>
      <c r="C50" s="137" t="s">
        <v>220</v>
      </c>
      <c r="D50" s="155" t="s">
        <v>221</v>
      </c>
      <c r="G50" s="189"/>
      <c r="H50" s="189"/>
      <c r="I50" s="189"/>
      <c r="J50" s="189"/>
      <c r="K50" s="189">
        <v>0.73766534293990871</v>
      </c>
      <c r="L50" s="189">
        <v>0.74025965682969863</v>
      </c>
      <c r="M50" s="189">
        <v>0.74766225339799575</v>
      </c>
      <c r="N50" s="190">
        <v>1.0000000000000002</v>
      </c>
      <c r="O50" s="190">
        <v>0.99999999999999989</v>
      </c>
      <c r="P50" s="190">
        <v>1.0000000000000002</v>
      </c>
      <c r="Q50" s="190">
        <v>1.0000000000000002</v>
      </c>
      <c r="R50" s="190">
        <v>1.0000000000000002</v>
      </c>
      <c r="S50" s="190">
        <v>1</v>
      </c>
      <c r="T50" s="190">
        <v>1.0000000000000002</v>
      </c>
      <c r="U50" s="190">
        <v>1</v>
      </c>
      <c r="V50" s="190">
        <v>1.0000000000000002</v>
      </c>
      <c r="W50" s="190">
        <v>1.0000000000000002</v>
      </c>
      <c r="X50" s="190">
        <v>0.99999999999999989</v>
      </c>
      <c r="Y50" s="190">
        <v>1.0000000000000002</v>
      </c>
      <c r="Z50" s="190">
        <v>1</v>
      </c>
      <c r="AA50" s="190">
        <v>1</v>
      </c>
      <c r="AB50" s="190">
        <v>1</v>
      </c>
      <c r="AC50" s="190">
        <v>0.99999999999999989</v>
      </c>
      <c r="AD50" s="190">
        <v>1</v>
      </c>
      <c r="AE50" s="190">
        <v>1</v>
      </c>
      <c r="AF50" s="190">
        <v>0.99999999999999989</v>
      </c>
      <c r="AG50" s="190">
        <v>1</v>
      </c>
      <c r="AH50" s="190">
        <v>1.0000000000000002</v>
      </c>
      <c r="AI50" s="190">
        <v>0.99999999999999989</v>
      </c>
      <c r="AJ50" s="190">
        <v>1.0000000000000002</v>
      </c>
      <c r="AK50" s="190">
        <v>1.0000000000000002</v>
      </c>
      <c r="AL50" s="190">
        <v>1</v>
      </c>
      <c r="AM50" s="190">
        <v>0.99999999999999989</v>
      </c>
      <c r="AN50" s="190">
        <v>1.0000000000000002</v>
      </c>
      <c r="AO50" s="190">
        <v>0.99999999999999978</v>
      </c>
      <c r="AP50" s="190">
        <v>0.99999999999999978</v>
      </c>
      <c r="AQ50" s="190">
        <v>0.99999999999999978</v>
      </c>
      <c r="AR50" s="190">
        <v>1</v>
      </c>
    </row>
    <row r="51" spans="1:44" x14ac:dyDescent="0.2">
      <c r="B51" s="154">
        <v>2</v>
      </c>
      <c r="C51" s="137" t="s">
        <v>222</v>
      </c>
      <c r="D51" s="155" t="s">
        <v>223</v>
      </c>
      <c r="G51" s="189"/>
      <c r="H51" s="189"/>
      <c r="I51" s="189"/>
      <c r="J51" s="189"/>
      <c r="K51" s="189">
        <v>0.7122976637034456</v>
      </c>
      <c r="L51" s="189">
        <v>0.70031351619821447</v>
      </c>
      <c r="M51" s="189">
        <v>0.70031351619821447</v>
      </c>
      <c r="N51" s="190">
        <v>1</v>
      </c>
      <c r="O51" s="190">
        <v>1</v>
      </c>
      <c r="P51" s="190">
        <v>0.99999999999999989</v>
      </c>
      <c r="Q51" s="190">
        <v>1.0000000000000002</v>
      </c>
      <c r="R51" s="190">
        <v>0.99999999999999989</v>
      </c>
      <c r="S51" s="190">
        <v>1</v>
      </c>
      <c r="T51" s="190">
        <v>0.99999999999999989</v>
      </c>
      <c r="U51" s="190">
        <v>1.0000000000000002</v>
      </c>
      <c r="V51" s="190">
        <v>0.99999999999999967</v>
      </c>
      <c r="W51" s="190">
        <v>1</v>
      </c>
      <c r="X51" s="190">
        <v>1.0000000000000002</v>
      </c>
      <c r="Y51" s="190">
        <v>1</v>
      </c>
      <c r="Z51" s="190">
        <v>1.0000000000000002</v>
      </c>
      <c r="AA51" s="190">
        <v>1.0000000000000002</v>
      </c>
      <c r="AB51" s="190">
        <v>1</v>
      </c>
      <c r="AC51" s="190">
        <v>1</v>
      </c>
      <c r="AD51" s="190">
        <v>0.99999999999999989</v>
      </c>
      <c r="AE51" s="190">
        <v>0.99999999999999989</v>
      </c>
      <c r="AF51" s="190">
        <v>1.0000000000000002</v>
      </c>
      <c r="AG51" s="190">
        <v>1.0000000000000002</v>
      </c>
      <c r="AH51" s="190">
        <v>0.99999999999999989</v>
      </c>
      <c r="AI51" s="190">
        <v>1.0000000000000002</v>
      </c>
      <c r="AJ51" s="190">
        <v>0.99999999999999967</v>
      </c>
      <c r="AK51" s="190">
        <v>1.0000000000000002</v>
      </c>
      <c r="AL51" s="190">
        <v>1.0000000000000002</v>
      </c>
      <c r="AM51" s="190">
        <v>0.99999999999999978</v>
      </c>
      <c r="AN51" s="190">
        <v>1.0000000000000002</v>
      </c>
      <c r="AO51" s="190">
        <v>0.99999999999999978</v>
      </c>
      <c r="AP51" s="190">
        <v>0.99999999999999989</v>
      </c>
      <c r="AQ51" s="190">
        <v>1</v>
      </c>
      <c r="AR51" s="190">
        <v>1</v>
      </c>
    </row>
    <row r="52" spans="1:44" x14ac:dyDescent="0.2">
      <c r="B52" s="154">
        <v>3</v>
      </c>
      <c r="C52" s="137" t="s">
        <v>224</v>
      </c>
      <c r="D52" s="155" t="s">
        <v>225</v>
      </c>
      <c r="G52" s="189"/>
      <c r="H52" s="189"/>
      <c r="I52" s="189"/>
      <c r="J52" s="189"/>
      <c r="K52" s="189">
        <v>0.97864403885872786</v>
      </c>
      <c r="L52" s="189">
        <v>0.96217871106891106</v>
      </c>
      <c r="M52" s="189">
        <v>0.96217871106891106</v>
      </c>
      <c r="N52" s="190">
        <v>1.0824970312112749</v>
      </c>
      <c r="O52" s="190">
        <v>1.0820124409659484</v>
      </c>
      <c r="P52" s="190">
        <v>1.0815306972194887</v>
      </c>
      <c r="Q52" s="190">
        <v>1.0810517832514692</v>
      </c>
      <c r="R52" s="190">
        <v>1.0805756824396786</v>
      </c>
      <c r="S52" s="190">
        <v>1.0801023782595465</v>
      </c>
      <c r="T52" s="190">
        <v>1.0797278542023176</v>
      </c>
      <c r="U52" s="190">
        <v>1.0793550812575088</v>
      </c>
      <c r="V52" s="190">
        <v>1.0789840512376763</v>
      </c>
      <c r="W52" s="190">
        <v>1.0786147559936563</v>
      </c>
      <c r="X52" s="190">
        <v>1.0782471874143893</v>
      </c>
      <c r="Y52" s="190">
        <v>1.0779902334607296</v>
      </c>
      <c r="Z52" s="190">
        <v>1.0777341233116391</v>
      </c>
      <c r="AA52" s="190">
        <v>1.07747885419617</v>
      </c>
      <c r="AB52" s="190">
        <v>1.0772244233524737</v>
      </c>
      <c r="AC52" s="190">
        <v>1.0769708280277699</v>
      </c>
      <c r="AD52" s="190">
        <v>1.0768015627248284</v>
      </c>
      <c r="AE52" s="190">
        <v>1.0766326696504771</v>
      </c>
      <c r="AF52" s="190">
        <v>1.0764641479861541</v>
      </c>
      <c r="AG52" s="190">
        <v>1.0762959969150967</v>
      </c>
      <c r="AH52" s="190">
        <v>1.0761282156223402</v>
      </c>
      <c r="AI52" s="190">
        <v>1.0759608032947103</v>
      </c>
      <c r="AJ52" s="190">
        <v>1.0757937591208226</v>
      </c>
      <c r="AK52" s="190">
        <v>1.0756270822910761</v>
      </c>
      <c r="AL52" s="190">
        <v>1.0754607719976497</v>
      </c>
      <c r="AM52" s="190">
        <v>1.0752948274344998</v>
      </c>
      <c r="AN52" s="190">
        <v>1.0751292477973544</v>
      </c>
      <c r="AO52" s="190">
        <v>1.0749640322837106</v>
      </c>
      <c r="AP52" s="190">
        <v>1.0747991800928312</v>
      </c>
      <c r="AQ52" s="190">
        <v>1.0746346904257382</v>
      </c>
      <c r="AR52" s="190">
        <v>1.0744705624852111</v>
      </c>
    </row>
    <row r="53" spans="1:44" x14ac:dyDescent="0.2">
      <c r="B53" s="154">
        <v>4</v>
      </c>
      <c r="C53" s="137" t="s">
        <v>226</v>
      </c>
      <c r="D53" s="155" t="s">
        <v>227</v>
      </c>
      <c r="G53" s="189"/>
      <c r="H53" s="189"/>
      <c r="I53" s="189"/>
      <c r="J53" s="189"/>
      <c r="K53" s="189">
        <v>0.58448186542641034</v>
      </c>
      <c r="L53" s="189">
        <v>0.57464817194918605</v>
      </c>
      <c r="M53" s="189">
        <v>0.57464817194918605</v>
      </c>
      <c r="N53" s="190">
        <v>1.0328179058134903</v>
      </c>
      <c r="O53" s="190">
        <v>1.0301696814620724</v>
      </c>
      <c r="P53" s="190">
        <v>1.0275630788923504</v>
      </c>
      <c r="Q53" s="190">
        <v>1.0249974439404466</v>
      </c>
      <c r="R53" s="190">
        <v>1.022472132723887</v>
      </c>
      <c r="S53" s="190">
        <v>1.0199865114800115</v>
      </c>
      <c r="T53" s="190">
        <v>1.0177246675879623</v>
      </c>
      <c r="U53" s="190">
        <v>1.0154956888861795</v>
      </c>
      <c r="V53" s="190">
        <v>1.0132990978347518</v>
      </c>
      <c r="W53" s="190">
        <v>1.0111344238325495</v>
      </c>
      <c r="X53" s="190">
        <v>1.0090012031164017</v>
      </c>
      <c r="Y53" s="190">
        <v>1.0070983338367048</v>
      </c>
      <c r="Z53" s="190">
        <v>1.0052204917619085</v>
      </c>
      <c r="AA53" s="190">
        <v>1.004286244346287</v>
      </c>
      <c r="AB53" s="190">
        <v>1.0033967609681325</v>
      </c>
      <c r="AC53" s="190">
        <v>1.0025189763876823</v>
      </c>
      <c r="AD53" s="190">
        <v>1.0017234757984108</v>
      </c>
      <c r="AE53" s="190">
        <v>1.0009375835045569</v>
      </c>
      <c r="AF53" s="190">
        <v>1.0001611834542377</v>
      </c>
      <c r="AG53" s="190">
        <v>1.0000000000000002</v>
      </c>
      <c r="AH53" s="190">
        <v>1</v>
      </c>
      <c r="AI53" s="190">
        <v>1</v>
      </c>
      <c r="AJ53" s="190">
        <v>1</v>
      </c>
      <c r="AK53" s="190">
        <v>1</v>
      </c>
      <c r="AL53" s="190">
        <v>1.0000000000000002</v>
      </c>
      <c r="AM53" s="190">
        <v>1</v>
      </c>
      <c r="AN53" s="190">
        <v>1</v>
      </c>
      <c r="AO53" s="190">
        <v>1</v>
      </c>
      <c r="AP53" s="190">
        <v>0.99999999999999978</v>
      </c>
      <c r="AQ53" s="190">
        <v>0.99999999999999978</v>
      </c>
      <c r="AR53" s="190">
        <v>1.0000000000000002</v>
      </c>
    </row>
    <row r="54" spans="1:44" x14ac:dyDescent="0.2">
      <c r="B54" s="154">
        <v>5</v>
      </c>
      <c r="C54" s="137" t="s">
        <v>228</v>
      </c>
      <c r="D54" s="155" t="s">
        <v>221</v>
      </c>
      <c r="G54" s="189"/>
      <c r="H54" s="189"/>
      <c r="I54" s="189"/>
      <c r="J54" s="189"/>
      <c r="K54" s="189">
        <v>0.28496929946792049</v>
      </c>
      <c r="L54" s="189">
        <v>0.28253515583064431</v>
      </c>
      <c r="M54" s="189">
        <v>0.2837153360972719</v>
      </c>
      <c r="N54" s="190">
        <v>1.0055073094379079</v>
      </c>
      <c r="O54" s="190">
        <v>1.005080571664464</v>
      </c>
      <c r="P54" s="190">
        <v>1.0046605408705247</v>
      </c>
      <c r="Q54" s="190">
        <v>1.004247111643406</v>
      </c>
      <c r="R54" s="190">
        <v>1.0038401802271801</v>
      </c>
      <c r="S54" s="190">
        <v>1.0034396444966374</v>
      </c>
      <c r="T54" s="190">
        <v>1.0030751684937445</v>
      </c>
      <c r="U54" s="190">
        <v>1.0027159884236181</v>
      </c>
      <c r="V54" s="190">
        <v>1.0023620273349552</v>
      </c>
      <c r="W54" s="190">
        <v>1.0020132093945731</v>
      </c>
      <c r="X54" s="190">
        <v>1.0016694598711671</v>
      </c>
      <c r="Y54" s="190">
        <v>1.0013628294306092</v>
      </c>
      <c r="Z54" s="190">
        <v>1.0010602319012691</v>
      </c>
      <c r="AA54" s="190">
        <v>1.0007616142408828</v>
      </c>
      <c r="AB54" s="190">
        <v>1.0004669241048161</v>
      </c>
      <c r="AC54" s="190">
        <v>1.0001761098368911</v>
      </c>
      <c r="AD54" s="190">
        <v>1</v>
      </c>
      <c r="AE54" s="190">
        <v>1.0000000000000002</v>
      </c>
      <c r="AF54" s="190">
        <v>1.0000000000000002</v>
      </c>
      <c r="AG54" s="190">
        <v>1.0000000000000002</v>
      </c>
      <c r="AH54" s="190">
        <v>1.0000000000000002</v>
      </c>
      <c r="AI54" s="190">
        <v>1</v>
      </c>
      <c r="AJ54" s="190">
        <v>1</v>
      </c>
      <c r="AK54" s="190">
        <v>1.0000000000000002</v>
      </c>
      <c r="AL54" s="190">
        <v>1</v>
      </c>
      <c r="AM54" s="190">
        <v>1</v>
      </c>
      <c r="AN54" s="190">
        <v>0.99999999999999967</v>
      </c>
      <c r="AO54" s="190">
        <v>1</v>
      </c>
      <c r="AP54" s="190">
        <v>0.99999999999999967</v>
      </c>
      <c r="AQ54" s="190">
        <v>0.99999999999999989</v>
      </c>
      <c r="AR54" s="190">
        <v>0.99999999999999989</v>
      </c>
    </row>
    <row r="55" spans="1:44" x14ac:dyDescent="0.2">
      <c r="B55" s="154">
        <v>6</v>
      </c>
      <c r="C55" s="137" t="s">
        <v>229</v>
      </c>
      <c r="D55" s="155" t="s">
        <v>230</v>
      </c>
      <c r="G55" s="189"/>
      <c r="H55" s="189"/>
      <c r="I55" s="189"/>
      <c r="J55" s="189"/>
      <c r="K55" s="189">
        <v>0.78043028945530324</v>
      </c>
      <c r="L55" s="189">
        <v>0.79599805764925236</v>
      </c>
      <c r="M55" s="189">
        <v>0.81034716874539636</v>
      </c>
      <c r="N55" s="190">
        <v>1.0514495485477369</v>
      </c>
      <c r="O55" s="190">
        <v>1.0459521776106206</v>
      </c>
      <c r="P55" s="190">
        <v>1.0405412081043055</v>
      </c>
      <c r="Q55" s="190">
        <v>1.0352152820692637</v>
      </c>
      <c r="R55" s="190">
        <v>1.0299730628888315</v>
      </c>
      <c r="S55" s="190">
        <v>1.0248132349537689</v>
      </c>
      <c r="T55" s="190">
        <v>1.0201179398327984</v>
      </c>
      <c r="U55" s="190">
        <v>1.0154908685923747</v>
      </c>
      <c r="V55" s="190">
        <v>1.012534397405495</v>
      </c>
      <c r="W55" s="190">
        <v>1.0116990474785303</v>
      </c>
      <c r="X55" s="190">
        <v>1.0108758354070491</v>
      </c>
      <c r="Y55" s="190">
        <v>1.0101415161921459</v>
      </c>
      <c r="Z55" s="190">
        <v>1.0094168550013904</v>
      </c>
      <c r="AA55" s="190">
        <v>1.0087017248090588</v>
      </c>
      <c r="AB55" s="190">
        <v>1.007996000260112</v>
      </c>
      <c r="AC55" s="190">
        <v>1.0072995576482273</v>
      </c>
      <c r="AD55" s="190">
        <v>1.006668399935404</v>
      </c>
      <c r="AE55" s="190">
        <v>1.0060448655352991</v>
      </c>
      <c r="AF55" s="190">
        <v>1.0054288623712488</v>
      </c>
      <c r="AG55" s="190">
        <v>1.0048202994787183</v>
      </c>
      <c r="AH55" s="190">
        <v>1.0042190869918699</v>
      </c>
      <c r="AI55" s="190">
        <v>1.0036251361302928</v>
      </c>
      <c r="AJ55" s="190">
        <v>1.0030383591858922</v>
      </c>
      <c r="AK55" s="190">
        <v>1.0024586695099391</v>
      </c>
      <c r="AL55" s="190">
        <v>1.0018859815002725</v>
      </c>
      <c r="AM55" s="190">
        <v>1.0013202105886612</v>
      </c>
      <c r="AN55" s="190">
        <v>1.0007612732283138</v>
      </c>
      <c r="AO55" s="190">
        <v>1.0002090868815425</v>
      </c>
      <c r="AP55" s="190">
        <v>1.0000000000000002</v>
      </c>
      <c r="AQ55" s="190">
        <v>0.99999999999999978</v>
      </c>
      <c r="AR55" s="190">
        <v>0.99999999999999978</v>
      </c>
    </row>
    <row r="56" spans="1:44" x14ac:dyDescent="0.2">
      <c r="B56" s="154">
        <v>7</v>
      </c>
      <c r="C56" s="137" t="s">
        <v>231</v>
      </c>
      <c r="D56" s="155" t="s">
        <v>225</v>
      </c>
      <c r="G56" s="189"/>
      <c r="H56" s="189"/>
      <c r="I56" s="189"/>
      <c r="J56" s="189"/>
      <c r="K56" s="189">
        <v>1.0590865448193154</v>
      </c>
      <c r="L56" s="189">
        <v>1.084563759781352</v>
      </c>
      <c r="M56" s="189">
        <v>1.0855108588729774</v>
      </c>
      <c r="N56" s="190">
        <v>1.0812648872002293</v>
      </c>
      <c r="O56" s="190">
        <v>1.0716172368105588</v>
      </c>
      <c r="P56" s="190">
        <v>1.0633364371601461</v>
      </c>
      <c r="Q56" s="190">
        <v>1.0551857857107843</v>
      </c>
      <c r="R56" s="190">
        <v>1.0471632369409116</v>
      </c>
      <c r="S56" s="190">
        <v>1.0392667774781494</v>
      </c>
      <c r="T56" s="190">
        <v>1.0320812263212009</v>
      </c>
      <c r="U56" s="190">
        <v>1.0281317384527455</v>
      </c>
      <c r="V56" s="190">
        <v>1.0238726460868701</v>
      </c>
      <c r="W56" s="190">
        <v>1.0196754394600853</v>
      </c>
      <c r="X56" s="190">
        <v>1.0166746496194592</v>
      </c>
      <c r="Y56" s="190">
        <v>1.015004123662399</v>
      </c>
      <c r="Z56" s="190">
        <v>1.0133555690492801</v>
      </c>
      <c r="AA56" s="190">
        <v>1.0117286968052726</v>
      </c>
      <c r="AB56" s="190">
        <v>1.0101232217562441</v>
      </c>
      <c r="AC56" s="190">
        <v>1.0085388624787741</v>
      </c>
      <c r="AD56" s="190">
        <v>1.0071030218785677</v>
      </c>
      <c r="AE56" s="190">
        <v>1.0056845237930558</v>
      </c>
      <c r="AF56" s="190">
        <v>1.0042831587541301</v>
      </c>
      <c r="AG56" s="190">
        <v>1.0028987198236985</v>
      </c>
      <c r="AH56" s="190">
        <v>1.0015310025631319</v>
      </c>
      <c r="AI56" s="190">
        <v>1.0010797659016897</v>
      </c>
      <c r="AJ56" s="190">
        <v>1.000503559834294</v>
      </c>
      <c r="AK56" s="190">
        <v>0.99993431335711314</v>
      </c>
      <c r="AL56" s="190">
        <v>1</v>
      </c>
      <c r="AM56" s="190">
        <v>1</v>
      </c>
      <c r="AN56" s="190">
        <v>1</v>
      </c>
      <c r="AO56" s="190">
        <v>1</v>
      </c>
      <c r="AP56" s="190">
        <v>1</v>
      </c>
      <c r="AQ56" s="190">
        <v>1</v>
      </c>
      <c r="AR56" s="190">
        <v>1</v>
      </c>
    </row>
    <row r="57" spans="1:44" x14ac:dyDescent="0.2">
      <c r="B57" s="154">
        <v>8</v>
      </c>
      <c r="C57" s="137" t="s">
        <v>232</v>
      </c>
      <c r="D57" s="155" t="s">
        <v>233</v>
      </c>
      <c r="G57" s="189"/>
      <c r="H57" s="189"/>
      <c r="I57" s="189"/>
      <c r="J57" s="189"/>
      <c r="K57" s="189">
        <v>0.23702228239659112</v>
      </c>
      <c r="L57" s="189">
        <v>0.23259387467865539</v>
      </c>
      <c r="M57" s="189">
        <v>0.23323473949609272</v>
      </c>
      <c r="N57" s="190">
        <v>0.99999999999999956</v>
      </c>
      <c r="O57" s="190">
        <v>1.0000000000000002</v>
      </c>
      <c r="P57" s="190">
        <v>1.0000000000000002</v>
      </c>
      <c r="Q57" s="190">
        <v>1.0000000000000004</v>
      </c>
      <c r="R57" s="190">
        <v>1.0000000000000002</v>
      </c>
      <c r="S57" s="190">
        <v>1.0000000000000002</v>
      </c>
      <c r="T57" s="190">
        <v>1</v>
      </c>
      <c r="U57" s="190">
        <v>0.99999999999999967</v>
      </c>
      <c r="V57" s="190">
        <v>1</v>
      </c>
      <c r="W57" s="190">
        <v>0.99999999999999978</v>
      </c>
      <c r="X57" s="190">
        <v>1.0000000000000002</v>
      </c>
      <c r="Y57" s="190">
        <v>1</v>
      </c>
      <c r="Z57" s="190">
        <v>1.0000000000000002</v>
      </c>
      <c r="AA57" s="190">
        <v>1.0000000000000002</v>
      </c>
      <c r="AB57" s="190">
        <v>1.0000000000000002</v>
      </c>
      <c r="AC57" s="190">
        <v>0.99999999999999989</v>
      </c>
      <c r="AD57" s="190">
        <v>0.99999999999999989</v>
      </c>
      <c r="AE57" s="190">
        <v>1.0000000000000002</v>
      </c>
      <c r="AF57" s="190">
        <v>1.0000000000000002</v>
      </c>
      <c r="AG57" s="190">
        <v>1</v>
      </c>
      <c r="AH57" s="190">
        <v>1</v>
      </c>
      <c r="AI57" s="190">
        <v>0.99999999999999978</v>
      </c>
      <c r="AJ57" s="190">
        <v>1</v>
      </c>
      <c r="AK57" s="190">
        <v>1.0000000000000002</v>
      </c>
      <c r="AL57" s="190">
        <v>0.99999999999999978</v>
      </c>
      <c r="AM57" s="190">
        <v>1.0000000000000004</v>
      </c>
      <c r="AN57" s="190">
        <v>0.99999999999999978</v>
      </c>
      <c r="AO57" s="190">
        <v>1</v>
      </c>
      <c r="AP57" s="190">
        <v>1</v>
      </c>
      <c r="AQ57" s="190">
        <v>1</v>
      </c>
      <c r="AR57" s="190">
        <v>1</v>
      </c>
    </row>
    <row r="58" spans="1:44" x14ac:dyDescent="0.2">
      <c r="B58" s="157"/>
      <c r="C58" s="158" t="s">
        <v>84</v>
      </c>
      <c r="D58" s="159"/>
      <c r="E58" s="158"/>
      <c r="F58" s="158"/>
      <c r="G58" s="191"/>
      <c r="H58" s="192"/>
      <c r="I58" s="192"/>
      <c r="J58" s="192"/>
      <c r="K58" s="192">
        <v>0.50224520585294619</v>
      </c>
      <c r="L58" s="192">
        <v>0.49992301881065265</v>
      </c>
      <c r="M58" s="192">
        <v>0.50271731170085654</v>
      </c>
      <c r="N58" s="193">
        <v>1.0197263556661347</v>
      </c>
      <c r="O58" s="193">
        <v>1.0180784091462718</v>
      </c>
      <c r="P58" s="193">
        <v>1.016491739820319</v>
      </c>
      <c r="Q58" s="193">
        <v>1.0149298308240262</v>
      </c>
      <c r="R58" s="193">
        <v>1.0133922940431646</v>
      </c>
      <c r="S58" s="193">
        <v>1.0118787474573336</v>
      </c>
      <c r="T58" s="193">
        <v>1.0105035618720934</v>
      </c>
      <c r="U58" s="193">
        <v>1.0092398459871694</v>
      </c>
      <c r="V58" s="193">
        <v>1.0082189386167264</v>
      </c>
      <c r="W58" s="193">
        <v>1.0075177339353409</v>
      </c>
      <c r="X58" s="193">
        <v>1.0068598023354027</v>
      </c>
      <c r="Y58" s="193">
        <v>1.0063050058106988</v>
      </c>
      <c r="Z58" s="193">
        <v>1.0057574114370804</v>
      </c>
      <c r="AA58" s="193">
        <v>1.0053946213638605</v>
      </c>
      <c r="AB58" s="193">
        <v>1.0050427890415594</v>
      </c>
      <c r="AC58" s="193">
        <v>1.0046954903440484</v>
      </c>
      <c r="AD58" s="193">
        <v>1.0043888759660624</v>
      </c>
      <c r="AE58" s="193">
        <v>1.0040975740582603</v>
      </c>
      <c r="AF58" s="193">
        <v>1.0038097282513245</v>
      </c>
      <c r="AG58" s="193">
        <v>1.0036424543056621</v>
      </c>
      <c r="AH58" s="193">
        <v>1.0035079319256039</v>
      </c>
      <c r="AI58" s="193">
        <v>1.0034013034237736</v>
      </c>
      <c r="AJ58" s="193">
        <v>1.0032920852208196</v>
      </c>
      <c r="AK58" s="193">
        <v>1.0031841245393207</v>
      </c>
      <c r="AL58" s="193">
        <v>1.0030957819941788</v>
      </c>
      <c r="AM58" s="193">
        <v>1.0030065464560922</v>
      </c>
      <c r="AN58" s="193">
        <v>1.0029183274886422</v>
      </c>
      <c r="AO58" s="193">
        <v>1.0028311129480627</v>
      </c>
      <c r="AP58" s="193">
        <v>1.0027942675741937</v>
      </c>
      <c r="AQ58" s="193">
        <v>1.0027881227455677</v>
      </c>
      <c r="AR58" s="193">
        <v>1.0027819914299347</v>
      </c>
    </row>
    <row r="59" spans="1:44" x14ac:dyDescent="0.2">
      <c r="B59" s="171"/>
      <c r="C59" s="172"/>
      <c r="D59" s="173"/>
      <c r="E59" s="172"/>
      <c r="F59" s="172"/>
      <c r="G59" s="171"/>
      <c r="H59" s="171"/>
      <c r="I59" s="174"/>
      <c r="J59" s="174"/>
      <c r="K59" s="174"/>
      <c r="L59" s="175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  <c r="AA59" s="176"/>
      <c r="AB59" s="176"/>
      <c r="AC59" s="176"/>
      <c r="AD59" s="176"/>
      <c r="AE59" s="176"/>
      <c r="AF59" s="176"/>
      <c r="AG59" s="176"/>
      <c r="AH59" s="176"/>
      <c r="AI59" s="176"/>
      <c r="AJ59" s="176"/>
      <c r="AK59" s="176"/>
      <c r="AL59" s="176"/>
      <c r="AM59" s="176"/>
      <c r="AN59" s="176"/>
      <c r="AO59" s="176"/>
      <c r="AP59" s="176"/>
      <c r="AQ59" s="176"/>
      <c r="AR59" s="176"/>
    </row>
    <row r="60" spans="1:44" x14ac:dyDescent="0.2">
      <c r="B60" s="194"/>
      <c r="C60" s="195" t="s">
        <v>239</v>
      </c>
      <c r="D60" s="196"/>
      <c r="E60" s="195"/>
      <c r="F60" s="195"/>
      <c r="G60" s="194"/>
      <c r="H60" s="194"/>
      <c r="I60" s="194"/>
      <c r="J60" s="194"/>
      <c r="K60" s="194"/>
      <c r="L60" s="197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  <c r="AA60" s="195"/>
      <c r="AB60" s="195"/>
      <c r="AC60" s="195"/>
      <c r="AD60" s="195"/>
      <c r="AE60" s="195"/>
      <c r="AF60" s="195"/>
      <c r="AG60" s="195"/>
      <c r="AH60" s="195"/>
      <c r="AI60" s="195"/>
      <c r="AJ60" s="195"/>
      <c r="AK60" s="195"/>
      <c r="AL60" s="195"/>
      <c r="AM60" s="195"/>
      <c r="AN60" s="195"/>
      <c r="AO60" s="195"/>
      <c r="AP60" s="195"/>
      <c r="AQ60" s="195"/>
      <c r="AR60" s="195"/>
    </row>
    <row r="61" spans="1:44" x14ac:dyDescent="0.2">
      <c r="B61" s="139"/>
      <c r="C61" s="140" t="s">
        <v>240</v>
      </c>
      <c r="D61" s="141"/>
      <c r="E61" s="140"/>
      <c r="F61" s="140"/>
      <c r="G61" s="142"/>
      <c r="H61" s="142"/>
      <c r="I61" s="139"/>
      <c r="J61" s="139"/>
      <c r="K61" s="139"/>
      <c r="L61" s="139"/>
      <c r="M61" s="139"/>
      <c r="N61" s="139"/>
      <c r="O61" s="139"/>
      <c r="P61" s="144"/>
      <c r="Q61" s="144"/>
      <c r="R61" s="144"/>
      <c r="S61" s="144"/>
      <c r="T61" s="144"/>
      <c r="U61" s="144"/>
      <c r="V61" s="144"/>
      <c r="W61" s="140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  <c r="AL61" s="144"/>
      <c r="AM61" s="144"/>
      <c r="AN61" s="144"/>
      <c r="AO61" s="144"/>
      <c r="AP61" s="144"/>
      <c r="AQ61" s="144"/>
      <c r="AR61" s="144"/>
    </row>
    <row r="62" spans="1:44" x14ac:dyDescent="0.2">
      <c r="A62" s="145"/>
      <c r="B62" s="146"/>
      <c r="C62" s="146" t="s">
        <v>218</v>
      </c>
      <c r="D62" s="147" t="s">
        <v>219</v>
      </c>
      <c r="E62" s="146"/>
      <c r="F62" s="146"/>
      <c r="G62" s="148">
        <v>2019</v>
      </c>
      <c r="H62" s="148">
        <v>2020</v>
      </c>
      <c r="I62" s="148">
        <v>2021</v>
      </c>
      <c r="J62" s="148">
        <v>2022</v>
      </c>
      <c r="K62" s="148">
        <v>2023</v>
      </c>
      <c r="L62" s="149">
        <v>45352</v>
      </c>
      <c r="M62" s="148">
        <v>2024</v>
      </c>
      <c r="N62" s="146">
        <v>2025</v>
      </c>
      <c r="O62" s="146">
        <v>2026</v>
      </c>
      <c r="P62" s="146">
        <v>2027</v>
      </c>
      <c r="Q62" s="146">
        <v>2028</v>
      </c>
      <c r="R62" s="146">
        <v>2029</v>
      </c>
      <c r="S62" s="146">
        <v>2030</v>
      </c>
      <c r="T62" s="146">
        <v>2031</v>
      </c>
      <c r="U62" s="146">
        <v>2032</v>
      </c>
      <c r="V62" s="146">
        <v>2033</v>
      </c>
      <c r="W62" s="146">
        <v>2034</v>
      </c>
      <c r="X62" s="146">
        <v>2035</v>
      </c>
      <c r="Y62" s="146">
        <v>2036</v>
      </c>
      <c r="Z62" s="146">
        <v>2037</v>
      </c>
      <c r="AA62" s="146">
        <v>2038</v>
      </c>
      <c r="AB62" s="146">
        <v>2039</v>
      </c>
      <c r="AC62" s="146">
        <v>2040</v>
      </c>
      <c r="AD62" s="146">
        <v>2041</v>
      </c>
      <c r="AE62" s="146">
        <v>2042</v>
      </c>
      <c r="AF62" s="146">
        <v>2043</v>
      </c>
      <c r="AG62" s="146">
        <v>2044</v>
      </c>
      <c r="AH62" s="146">
        <v>2045</v>
      </c>
      <c r="AI62" s="146">
        <v>2046</v>
      </c>
      <c r="AJ62" s="146">
        <v>2047</v>
      </c>
      <c r="AK62" s="146">
        <v>2048</v>
      </c>
      <c r="AL62" s="146">
        <v>2049</v>
      </c>
      <c r="AM62" s="146">
        <v>2050</v>
      </c>
      <c r="AN62" s="146">
        <v>2051</v>
      </c>
      <c r="AO62" s="146">
        <v>2052</v>
      </c>
      <c r="AP62" s="146">
        <v>2053</v>
      </c>
      <c r="AQ62" s="146">
        <v>2054</v>
      </c>
      <c r="AR62" s="146">
        <v>2055</v>
      </c>
    </row>
    <row r="63" spans="1:44" ht="75" x14ac:dyDescent="0.2">
      <c r="A63" s="184"/>
      <c r="B63" s="185"/>
      <c r="C63" s="185"/>
      <c r="D63" s="186"/>
      <c r="E63" s="185"/>
      <c r="F63" s="185"/>
      <c r="G63" s="187"/>
      <c r="H63" s="187"/>
      <c r="I63" s="187"/>
      <c r="J63" s="187"/>
      <c r="K63" s="188" t="s">
        <v>237</v>
      </c>
      <c r="L63" s="188" t="s">
        <v>237</v>
      </c>
      <c r="M63" s="188" t="s">
        <v>237</v>
      </c>
      <c r="N63" s="188" t="s">
        <v>238</v>
      </c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185"/>
      <c r="AG63" s="185"/>
      <c r="AH63" s="185"/>
      <c r="AI63" s="185"/>
      <c r="AJ63" s="185"/>
      <c r="AK63" s="185"/>
      <c r="AL63" s="185"/>
      <c r="AM63" s="185"/>
      <c r="AN63" s="185"/>
      <c r="AO63" s="185"/>
      <c r="AP63" s="185"/>
      <c r="AQ63" s="185"/>
      <c r="AR63" s="185"/>
    </row>
    <row r="64" spans="1:44" x14ac:dyDescent="0.2">
      <c r="B64" s="198"/>
      <c r="C64" s="198"/>
      <c r="D64" s="199"/>
      <c r="E64" s="200"/>
      <c r="F64" s="150"/>
      <c r="G64" s="150"/>
      <c r="H64" s="150"/>
      <c r="I64" s="150"/>
      <c r="J64" s="150"/>
      <c r="K64" s="150"/>
      <c r="L64" s="150"/>
      <c r="M64" s="150"/>
      <c r="N64" s="198"/>
      <c r="O64" s="198"/>
      <c r="P64" s="198"/>
      <c r="Q64" s="198"/>
      <c r="R64" s="198"/>
      <c r="S64" s="198"/>
      <c r="T64" s="198"/>
      <c r="U64" s="201"/>
      <c r="V64" s="202"/>
      <c r="W64" s="198"/>
      <c r="X64" s="198"/>
      <c r="Y64" s="198"/>
      <c r="Z64" s="198"/>
      <c r="AA64" s="198"/>
      <c r="AB64" s="198"/>
      <c r="AC64" s="198"/>
      <c r="AD64" s="198"/>
      <c r="AE64" s="198"/>
      <c r="AF64" s="198"/>
      <c r="AG64" s="198"/>
      <c r="AH64" s="198"/>
      <c r="AI64" s="198"/>
      <c r="AJ64" s="198"/>
      <c r="AK64" s="198"/>
      <c r="AL64" s="198"/>
      <c r="AM64" s="198"/>
      <c r="AN64" s="198"/>
      <c r="AO64" s="198"/>
      <c r="AP64" s="198"/>
      <c r="AQ64" s="198"/>
      <c r="AR64" s="198"/>
    </row>
    <row r="65" spans="1:44" x14ac:dyDescent="0.2">
      <c r="B65" s="154">
        <v>1</v>
      </c>
      <c r="C65" s="137" t="s">
        <v>220</v>
      </c>
      <c r="D65" s="155" t="s">
        <v>221</v>
      </c>
      <c r="G65" s="156">
        <v>0</v>
      </c>
      <c r="H65" s="156">
        <v>0</v>
      </c>
      <c r="I65" s="156">
        <v>0</v>
      </c>
      <c r="J65" s="156">
        <v>0</v>
      </c>
      <c r="K65" s="156">
        <v>2030</v>
      </c>
      <c r="L65" s="156">
        <v>2072</v>
      </c>
      <c r="M65" s="156">
        <v>2092.7200000000003</v>
      </c>
      <c r="N65" s="156">
        <v>2846.9161821705434</v>
      </c>
      <c r="O65" s="156">
        <v>2892.3752503142905</v>
      </c>
      <c r="P65" s="156">
        <v>2938.5602010426533</v>
      </c>
      <c r="Q65" s="156">
        <v>2985.4826251239469</v>
      </c>
      <c r="R65" s="156">
        <v>3033.1542984058806</v>
      </c>
      <c r="S65" s="156">
        <v>3081.5871847708768</v>
      </c>
      <c r="T65" s="156">
        <v>3127.0236660926385</v>
      </c>
      <c r="U65" s="156">
        <v>3173.1300858945133</v>
      </c>
      <c r="V65" s="156">
        <v>3219.9163220885694</v>
      </c>
      <c r="W65" s="156">
        <v>3267.3923982318083</v>
      </c>
      <c r="X65" s="156">
        <v>3315.5684856736334</v>
      </c>
      <c r="Y65" s="156">
        <v>3359.7571919376851</v>
      </c>
      <c r="Z65" s="156">
        <v>3404.534829412095</v>
      </c>
      <c r="AA65" s="156">
        <v>3449.9092471605672</v>
      </c>
      <c r="AB65" s="156">
        <v>3495.8883988563107</v>
      </c>
      <c r="AC65" s="156">
        <v>3542.4803441762338</v>
      </c>
      <c r="AD65" s="156">
        <v>3585.7906017314331</v>
      </c>
      <c r="AE65" s="156">
        <v>3629.6303691857011</v>
      </c>
      <c r="AF65" s="156">
        <v>3674.006120311049</v>
      </c>
      <c r="AG65" s="156">
        <v>3718.924408027633</v>
      </c>
      <c r="AH65" s="156">
        <v>3764.3918653714063</v>
      </c>
      <c r="AI65" s="156">
        <v>3810.4152064736259</v>
      </c>
      <c r="AJ65" s="156">
        <v>3857.0012275523109</v>
      </c>
      <c r="AK65" s="156">
        <v>3904.156807915836</v>
      </c>
      <c r="AL65" s="156">
        <v>3951.8889109787933</v>
      </c>
      <c r="AM65" s="156">
        <v>4000.2045852902688</v>
      </c>
      <c r="AN65" s="156">
        <v>4049.1109655747009</v>
      </c>
      <c r="AO65" s="156">
        <v>4098.6152737854509</v>
      </c>
      <c r="AP65" s="156">
        <v>4148.7248201712609</v>
      </c>
      <c r="AQ65" s="156">
        <v>4199.4470043557567</v>
      </c>
      <c r="AR65" s="156">
        <v>4250.7893164301386</v>
      </c>
    </row>
    <row r="66" spans="1:44" x14ac:dyDescent="0.2">
      <c r="B66" s="154">
        <v>2</v>
      </c>
      <c r="C66" s="137" t="s">
        <v>222</v>
      </c>
      <c r="D66" s="155" t="s">
        <v>223</v>
      </c>
      <c r="G66" s="156">
        <v>0</v>
      </c>
      <c r="H66" s="156">
        <v>0</v>
      </c>
      <c r="I66" s="156">
        <v>0</v>
      </c>
      <c r="J66" s="156">
        <v>0</v>
      </c>
      <c r="K66" s="156">
        <v>3826</v>
      </c>
      <c r="L66" s="156">
        <v>3826</v>
      </c>
      <c r="M66" s="156">
        <v>3826</v>
      </c>
      <c r="N66" s="156">
        <v>5556.7578125</v>
      </c>
      <c r="O66" s="156">
        <v>5645.4871659101</v>
      </c>
      <c r="P66" s="156">
        <v>5735.6333343807464</v>
      </c>
      <c r="Q66" s="156">
        <v>5827.2189413712476</v>
      </c>
      <c r="R66" s="156">
        <v>5920.2669715884067</v>
      </c>
      <c r="S66" s="156">
        <v>6014.8007767548906</v>
      </c>
      <c r="T66" s="156">
        <v>6103.486044041093</v>
      </c>
      <c r="U66" s="156">
        <v>6193.4789317997847</v>
      </c>
      <c r="V66" s="156">
        <v>6284.7987202491149</v>
      </c>
      <c r="W66" s="156">
        <v>6377.4649738845337</v>
      </c>
      <c r="X66" s="156">
        <v>6471.4975456703105</v>
      </c>
      <c r="Y66" s="156">
        <v>6557.7473412543277</v>
      </c>
      <c r="Z66" s="156">
        <v>6645.146643144386</v>
      </c>
      <c r="AA66" s="156">
        <v>6733.710771547785</v>
      </c>
      <c r="AB66" s="156">
        <v>6823.4552508540382</v>
      </c>
      <c r="AC66" s="156">
        <v>6914.395812356157</v>
      </c>
      <c r="AD66" s="156">
        <v>6998.9310064508954</v>
      </c>
      <c r="AE66" s="156">
        <v>7084.4997252720977</v>
      </c>
      <c r="AF66" s="156">
        <v>7171.1146046618187</v>
      </c>
      <c r="AG66" s="156">
        <v>7258.7884349475225</v>
      </c>
      <c r="AH66" s="156">
        <v>7347.5341628308406</v>
      </c>
      <c r="AI66" s="156">
        <v>7437.3648932993892</v>
      </c>
      <c r="AJ66" s="156">
        <v>7528.2938915619561</v>
      </c>
      <c r="AK66" s="156">
        <v>7620.3345850073893</v>
      </c>
      <c r="AL66" s="156">
        <v>7713.5005651873607</v>
      </c>
      <c r="AM66" s="156">
        <v>7807.8055898234588</v>
      </c>
      <c r="AN66" s="156">
        <v>7903.2635848387617</v>
      </c>
      <c r="AO66" s="156">
        <v>7999.8886464142488</v>
      </c>
      <c r="AP66" s="156">
        <v>8097.6950430704019</v>
      </c>
      <c r="AQ66" s="156">
        <v>8196.6972177741809</v>
      </c>
      <c r="AR66" s="156">
        <v>8296.9097900718371</v>
      </c>
    </row>
    <row r="67" spans="1:44" x14ac:dyDescent="0.2">
      <c r="B67" s="154">
        <v>3</v>
      </c>
      <c r="C67" s="137" t="s">
        <v>224</v>
      </c>
      <c r="D67" s="155" t="s">
        <v>225</v>
      </c>
      <c r="G67" s="156">
        <v>0</v>
      </c>
      <c r="H67" s="156">
        <v>0</v>
      </c>
      <c r="I67" s="156">
        <v>0</v>
      </c>
      <c r="J67" s="156">
        <v>0</v>
      </c>
      <c r="K67" s="156">
        <v>2270</v>
      </c>
      <c r="L67" s="156">
        <v>2270</v>
      </c>
      <c r="M67" s="156">
        <v>2270</v>
      </c>
      <c r="N67" s="156">
        <v>2597.5615019379848</v>
      </c>
      <c r="O67" s="156">
        <v>2637.8575261718975</v>
      </c>
      <c r="P67" s="156">
        <v>2678.7851764804655</v>
      </c>
      <c r="Q67" s="156">
        <v>2720.3544204211321</v>
      </c>
      <c r="R67" s="156">
        <v>2762.5753835301939</v>
      </c>
      <c r="S67" s="156">
        <v>2805.4583518335648</v>
      </c>
      <c r="T67" s="156">
        <v>2845.8363176393405</v>
      </c>
      <c r="U67" s="156">
        <v>2886.7997652895961</v>
      </c>
      <c r="V67" s="156">
        <v>2928.3572287117895</v>
      </c>
      <c r="W67" s="156">
        <v>2970.5173666747905</v>
      </c>
      <c r="X67" s="156">
        <v>3013.2889646197418</v>
      </c>
      <c r="Y67" s="156">
        <v>3052.7213394090963</v>
      </c>
      <c r="Z67" s="156">
        <v>3092.6719781451884</v>
      </c>
      <c r="AA67" s="156">
        <v>3133.1477152979542</v>
      </c>
      <c r="AB67" s="156">
        <v>3174.1554756970309</v>
      </c>
      <c r="AC67" s="156">
        <v>3215.7022757287623</v>
      </c>
      <c r="AD67" s="156">
        <v>3254.5057700796174</v>
      </c>
      <c r="AE67" s="156">
        <v>3293.7785589346804</v>
      </c>
      <c r="AF67" s="156">
        <v>3333.5263287159246</v>
      </c>
      <c r="AG67" s="156">
        <v>3373.7548348557611</v>
      </c>
      <c r="AH67" s="156">
        <v>3414.4699026356438</v>
      </c>
      <c r="AI67" s="156">
        <v>3455.6774280348777</v>
      </c>
      <c r="AJ67" s="156">
        <v>3497.3833785897432</v>
      </c>
      <c r="AK67" s="156">
        <v>3539.5937942630826</v>
      </c>
      <c r="AL67" s="156">
        <v>3582.3147883244601</v>
      </c>
      <c r="AM67" s="156">
        <v>3625.5525482410335</v>
      </c>
      <c r="AN67" s="156">
        <v>3669.313336579256</v>
      </c>
      <c r="AO67" s="156">
        <v>3713.6034919175604</v>
      </c>
      <c r="AP67" s="156">
        <v>3758.4294297701326</v>
      </c>
      <c r="AQ67" s="156">
        <v>3803.7976435219339</v>
      </c>
      <c r="AR67" s="156">
        <v>3849.7147053750955</v>
      </c>
    </row>
    <row r="68" spans="1:44" x14ac:dyDescent="0.2">
      <c r="B68" s="154">
        <v>4</v>
      </c>
      <c r="C68" s="137" t="s">
        <v>226</v>
      </c>
      <c r="D68" s="155" t="s">
        <v>227</v>
      </c>
      <c r="G68" s="156">
        <v>0</v>
      </c>
      <c r="H68" s="156">
        <v>0</v>
      </c>
      <c r="I68" s="156">
        <v>0</v>
      </c>
      <c r="J68" s="156">
        <v>0</v>
      </c>
      <c r="K68" s="156">
        <v>7018</v>
      </c>
      <c r="L68" s="156">
        <v>7018</v>
      </c>
      <c r="M68" s="156">
        <v>7018</v>
      </c>
      <c r="N68" s="156">
        <v>12829.333786231886</v>
      </c>
      <c r="O68" s="156">
        <v>13000.769718297235</v>
      </c>
      <c r="P68" s="156">
        <v>13174.943109851856</v>
      </c>
      <c r="Q68" s="156">
        <v>13351.897672178242</v>
      </c>
      <c r="R68" s="156">
        <v>13531.677814533121</v>
      </c>
      <c r="S68" s="156">
        <v>13714.328655292607</v>
      </c>
      <c r="T68" s="156">
        <v>13885.679407589923</v>
      </c>
      <c r="U68" s="156">
        <v>14059.556642115196</v>
      </c>
      <c r="V68" s="156">
        <v>14235.997610601278</v>
      </c>
      <c r="W68" s="156">
        <v>14415.040114039421</v>
      </c>
      <c r="X68" s="156">
        <v>14596.722510777838</v>
      </c>
      <c r="Y68" s="156">
        <v>14763.367634720653</v>
      </c>
      <c r="Z68" s="156">
        <v>14932.233745038522</v>
      </c>
      <c r="AA68" s="156">
        <v>15117.182283306865</v>
      </c>
      <c r="AB68" s="156">
        <v>15305.091122220138</v>
      </c>
      <c r="AC68" s="156">
        <v>15495.504342666482</v>
      </c>
      <c r="AD68" s="156">
        <v>15672.505872927115</v>
      </c>
      <c r="AE68" s="156">
        <v>15851.671418543781</v>
      </c>
      <c r="AF68" s="156">
        <v>16033.027436702781</v>
      </c>
      <c r="AG68" s="156">
        <v>16226.431313019544</v>
      </c>
      <c r="AH68" s="156">
        <v>16424.81517152816</v>
      </c>
      <c r="AI68" s="156">
        <v>16625.624465091325</v>
      </c>
      <c r="AJ68" s="156">
        <v>16828.888847004659</v>
      </c>
      <c r="AK68" s="156">
        <v>17034.638333104089</v>
      </c>
      <c r="AL68" s="156">
        <v>17242.903306198237</v>
      </c>
      <c r="AM68" s="156">
        <v>17453.714520555022</v>
      </c>
      <c r="AN68" s="156">
        <v>17667.103106443123</v>
      </c>
      <c r="AO68" s="156">
        <v>17883.100574728931</v>
      </c>
      <c r="AP68" s="156">
        <v>18101.738821529747</v>
      </c>
      <c r="AQ68" s="156">
        <v>18323.050132923829</v>
      </c>
      <c r="AR68" s="156">
        <v>18547.067189718058</v>
      </c>
    </row>
    <row r="69" spans="1:44" x14ac:dyDescent="0.2">
      <c r="B69" s="154">
        <v>5</v>
      </c>
      <c r="C69" s="137" t="s">
        <v>228</v>
      </c>
      <c r="D69" s="155" t="s">
        <v>221</v>
      </c>
      <c r="G69" s="156">
        <v>0</v>
      </c>
      <c r="H69" s="156">
        <v>0</v>
      </c>
      <c r="I69" s="156">
        <v>0</v>
      </c>
      <c r="J69" s="156">
        <v>0</v>
      </c>
      <c r="K69" s="156">
        <v>1187</v>
      </c>
      <c r="L69" s="156">
        <v>1197</v>
      </c>
      <c r="M69" s="156">
        <v>1202</v>
      </c>
      <c r="N69" s="156">
        <v>4332.8723958333339</v>
      </c>
      <c r="O69" s="156">
        <v>4400.1907214404509</v>
      </c>
      <c r="P69" s="156">
        <v>4468.58397449723</v>
      </c>
      <c r="Q69" s="156">
        <v>4538.0693192603803</v>
      </c>
      <c r="R69" s="156">
        <v>4608.6641940625095</v>
      </c>
      <c r="S69" s="156">
        <v>4680.3863156885291</v>
      </c>
      <c r="T69" s="156">
        <v>4747.6711934688701</v>
      </c>
      <c r="U69" s="156">
        <v>4815.9481535461518</v>
      </c>
      <c r="V69" s="156">
        <v>4885.2318236839483</v>
      </c>
      <c r="W69" s="156">
        <v>4955.5370473249759</v>
      </c>
      <c r="X69" s="156">
        <v>5026.8788867711919</v>
      </c>
      <c r="Y69" s="156">
        <v>5092.3159895959661</v>
      </c>
      <c r="Z69" s="156">
        <v>5158.6252146308479</v>
      </c>
      <c r="AA69" s="156">
        <v>5225.8181852075049</v>
      </c>
      <c r="AB69" s="156">
        <v>5293.9066795691924</v>
      </c>
      <c r="AC69" s="156">
        <v>5362.9026329353665</v>
      </c>
      <c r="AD69" s="156">
        <v>5427.5134798255503</v>
      </c>
      <c r="AE69" s="156">
        <v>5493.8700954894894</v>
      </c>
      <c r="AF69" s="156">
        <v>5561.0379851297603</v>
      </c>
      <c r="AG69" s="156">
        <v>5629.0270673574614</v>
      </c>
      <c r="AH69" s="156">
        <v>5697.8473820483305</v>
      </c>
      <c r="AI69" s="156">
        <v>5767.5090918253291</v>
      </c>
      <c r="AJ69" s="156">
        <v>5838.0224835593335</v>
      </c>
      <c r="AK69" s="156">
        <v>5909.3979698881922</v>
      </c>
      <c r="AL69" s="156">
        <v>5981.6460907543469</v>
      </c>
      <c r="AM69" s="156">
        <v>6054.7775149612653</v>
      </c>
      <c r="AN69" s="156">
        <v>6128.8030417488744</v>
      </c>
      <c r="AO69" s="156">
        <v>6203.7336023882908</v>
      </c>
      <c r="AP69" s="156">
        <v>6279.5802617960107</v>
      </c>
      <c r="AQ69" s="156">
        <v>6356.3542201678756</v>
      </c>
      <c r="AR69" s="156">
        <v>6434.0668146329726</v>
      </c>
    </row>
    <row r="70" spans="1:44" x14ac:dyDescent="0.2">
      <c r="B70" s="154">
        <v>6</v>
      </c>
      <c r="C70" s="137" t="s">
        <v>229</v>
      </c>
      <c r="D70" s="155" t="s">
        <v>230</v>
      </c>
      <c r="G70" s="156">
        <v>0</v>
      </c>
      <c r="H70" s="156">
        <v>0</v>
      </c>
      <c r="I70" s="156">
        <v>0</v>
      </c>
      <c r="J70" s="156">
        <v>0</v>
      </c>
      <c r="K70" s="156">
        <v>7112</v>
      </c>
      <c r="L70" s="156">
        <v>7378</v>
      </c>
      <c r="M70" s="156">
        <v>7511</v>
      </c>
      <c r="N70" s="156">
        <v>9912.5203804347839</v>
      </c>
      <c r="O70" s="156">
        <v>10018.147888588956</v>
      </c>
      <c r="P70" s="156">
        <v>10125.462038633432</v>
      </c>
      <c r="Q70" s="156">
        <v>10234.489762575944</v>
      </c>
      <c r="R70" s="156">
        <v>10345.258422469889</v>
      </c>
      <c r="S70" s="156">
        <v>10457.795817281234</v>
      </c>
      <c r="T70" s="156">
        <v>10563.370843283419</v>
      </c>
      <c r="U70" s="156">
        <v>10670.502520910031</v>
      </c>
      <c r="V70" s="156">
        <v>10796.309964473383</v>
      </c>
      <c r="W70" s="156">
        <v>10946.457841282168</v>
      </c>
      <c r="X70" s="156">
        <v>11098.819574390021</v>
      </c>
      <c r="Y70" s="156">
        <v>11238.570812560094</v>
      </c>
      <c r="Z70" s="156">
        <v>11380.184605052367</v>
      </c>
      <c r="AA70" s="156">
        <v>11523.685775322061</v>
      </c>
      <c r="AB70" s="156">
        <v>11669.099477662492</v>
      </c>
      <c r="AC70" s="156">
        <v>11816.451201614382</v>
      </c>
      <c r="AD70" s="156">
        <v>11953.424257187358</v>
      </c>
      <c r="AE70" s="156">
        <v>12092.071941195389</v>
      </c>
      <c r="AF70" s="156">
        <v>12232.414727595082</v>
      </c>
      <c r="AG70" s="156">
        <v>12374.473340657007</v>
      </c>
      <c r="AH70" s="156">
        <v>12518.268758026048</v>
      </c>
      <c r="AI70" s="156">
        <v>12663.822213819147</v>
      </c>
      <c r="AJ70" s="156">
        <v>12811.155201760901</v>
      </c>
      <c r="AK70" s="156">
        <v>12960.289478357548</v>
      </c>
      <c r="AL70" s="156">
        <v>13111.247066109703</v>
      </c>
      <c r="AM70" s="156">
        <v>13264.050256764414</v>
      </c>
      <c r="AN70" s="156">
        <v>13418.721614606948</v>
      </c>
      <c r="AO70" s="156">
        <v>13575.283979792855</v>
      </c>
      <c r="AP70" s="156">
        <v>13738.382475632929</v>
      </c>
      <c r="AQ70" s="156">
        <v>13906.347524299939</v>
      </c>
      <c r="AR70" s="156">
        <v>14076.366108572311</v>
      </c>
    </row>
    <row r="71" spans="1:44" x14ac:dyDescent="0.2">
      <c r="B71" s="154">
        <v>7</v>
      </c>
      <c r="C71" s="137" t="s">
        <v>231</v>
      </c>
      <c r="D71" s="155" t="s">
        <v>225</v>
      </c>
      <c r="G71" s="156">
        <v>0</v>
      </c>
      <c r="H71" s="156">
        <v>0</v>
      </c>
      <c r="I71" s="156">
        <v>0</v>
      </c>
      <c r="J71" s="156">
        <v>0</v>
      </c>
      <c r="K71" s="156">
        <v>1924</v>
      </c>
      <c r="L71" s="156">
        <v>2004</v>
      </c>
      <c r="M71" s="156">
        <v>2005.75</v>
      </c>
      <c r="N71" s="156">
        <v>2032.09375</v>
      </c>
      <c r="O71" s="156">
        <v>2046.1208757387994</v>
      </c>
      <c r="P71" s="156">
        <v>2062.7293470608793</v>
      </c>
      <c r="Q71" s="156">
        <v>2079.6030195976355</v>
      </c>
      <c r="R71" s="156">
        <v>2096.7461280364701</v>
      </c>
      <c r="S71" s="156">
        <v>2114.1629746835442</v>
      </c>
      <c r="T71" s="156">
        <v>2130.5022905236124</v>
      </c>
      <c r="U71" s="156">
        <v>2153.6424452872661</v>
      </c>
      <c r="V71" s="156">
        <v>2176.3437128526316</v>
      </c>
      <c r="W71" s="156">
        <v>2199.3796993981423</v>
      </c>
      <c r="X71" s="156">
        <v>2225.2405063291135</v>
      </c>
      <c r="Y71" s="156">
        <v>2251.1926286066182</v>
      </c>
      <c r="Z71" s="156">
        <v>2277.4906314512723</v>
      </c>
      <c r="AA71" s="156">
        <v>2304.1391246350804</v>
      </c>
      <c r="AB71" s="156">
        <v>2331.1427793674338</v>
      </c>
      <c r="AC71" s="156">
        <v>2358.5063291139245</v>
      </c>
      <c r="AD71" s="156">
        <v>2383.9425365744059</v>
      </c>
      <c r="AE71" s="156">
        <v>2409.6897263380506</v>
      </c>
      <c r="AF71" s="156">
        <v>2435.7517004650922</v>
      </c>
      <c r="AG71" s="156">
        <v>2462.1323074996362</v>
      </c>
      <c r="AH71" s="156">
        <v>2488.8354430379745</v>
      </c>
      <c r="AI71" s="156">
        <v>2518.1288234375806</v>
      </c>
      <c r="AJ71" s="156">
        <v>2547.4482739080331</v>
      </c>
      <c r="AK71" s="156">
        <v>2577.1261830932508</v>
      </c>
      <c r="AL71" s="156">
        <v>2608.8054135391253</v>
      </c>
      <c r="AM71" s="156">
        <v>2640.7005896288183</v>
      </c>
      <c r="AN71" s="156">
        <v>2672.9857151768006</v>
      </c>
      <c r="AO71" s="156">
        <v>2705.6655576933576</v>
      </c>
      <c r="AP71" s="156">
        <v>2738.7449429762078</v>
      </c>
      <c r="AQ71" s="156">
        <v>2772.2287558231315</v>
      </c>
      <c r="AR71" s="156">
        <v>2806.1219407532926</v>
      </c>
    </row>
    <row r="72" spans="1:44" x14ac:dyDescent="0.2">
      <c r="B72" s="154">
        <v>8</v>
      </c>
      <c r="C72" s="137" t="s">
        <v>232</v>
      </c>
      <c r="D72" s="155" t="s">
        <v>233</v>
      </c>
      <c r="G72" s="156">
        <v>0</v>
      </c>
      <c r="H72" s="156">
        <v>0</v>
      </c>
      <c r="I72" s="156">
        <v>0</v>
      </c>
      <c r="J72" s="156">
        <v>0</v>
      </c>
      <c r="K72" s="156">
        <v>5818</v>
      </c>
      <c r="L72" s="156">
        <v>5807</v>
      </c>
      <c r="M72" s="156">
        <v>5823</v>
      </c>
      <c r="N72" s="156">
        <v>25393.499999999993</v>
      </c>
      <c r="O72" s="156">
        <v>25798.979042248498</v>
      </c>
      <c r="P72" s="156">
        <v>26210.932704132047</v>
      </c>
      <c r="Q72" s="156">
        <v>26629.464371263843</v>
      </c>
      <c r="R72" s="156">
        <v>27054.679080100763</v>
      </c>
      <c r="S72" s="156">
        <v>27486.6835443038</v>
      </c>
      <c r="T72" s="156">
        <v>27891.961119973228</v>
      </c>
      <c r="U72" s="156">
        <v>28303.214313365897</v>
      </c>
      <c r="V72" s="156">
        <v>28720.531232014335</v>
      </c>
      <c r="W72" s="156">
        <v>29144.001282553079</v>
      </c>
      <c r="X72" s="156">
        <v>29573.715189873419</v>
      </c>
      <c r="Y72" s="156">
        <v>29967.863046963008</v>
      </c>
      <c r="Z72" s="156">
        <v>30367.263965166188</v>
      </c>
      <c r="AA72" s="156">
        <v>30771.987955395285</v>
      </c>
      <c r="AB72" s="156">
        <v>31182.105961642894</v>
      </c>
      <c r="AC72" s="156">
        <v>31597.689873417719</v>
      </c>
      <c r="AD72" s="156">
        <v>31984.002274223782</v>
      </c>
      <c r="AE72" s="156">
        <v>32375.037718759137</v>
      </c>
      <c r="AF72" s="156">
        <v>32770.85395081358</v>
      </c>
      <c r="AG72" s="156">
        <v>33171.509420150724</v>
      </c>
      <c r="AH72" s="156">
        <v>33577.063291139231</v>
      </c>
      <c r="AI72" s="156">
        <v>33987.575451489596</v>
      </c>
      <c r="AJ72" s="156">
        <v>34403.106521097565</v>
      </c>
      <c r="AK72" s="156">
        <v>34823.717860995966</v>
      </c>
      <c r="AL72" s="156">
        <v>35249.471582415703</v>
      </c>
      <c r="AM72" s="156">
        <v>35680.430555957762</v>
      </c>
      <c r="AN72" s="156">
        <v>36116.658420877146</v>
      </c>
      <c r="AO72" s="156">
        <v>36558.219594480528</v>
      </c>
      <c r="AP72" s="156">
        <v>37005.179281638564</v>
      </c>
      <c r="AQ72" s="156">
        <v>37457.603484414707</v>
      </c>
      <c r="AR72" s="156">
        <v>37915.55901181166</v>
      </c>
    </row>
    <row r="73" spans="1:44" x14ac:dyDescent="0.2">
      <c r="A73" s="179"/>
      <c r="B73" s="180"/>
      <c r="C73" s="181" t="s">
        <v>84</v>
      </c>
      <c r="D73" s="182"/>
      <c r="E73" s="181"/>
      <c r="F73" s="181"/>
      <c r="G73" s="170">
        <v>0</v>
      </c>
      <c r="H73" s="170">
        <v>0</v>
      </c>
      <c r="I73" s="170">
        <v>0</v>
      </c>
      <c r="J73" s="170">
        <v>0</v>
      </c>
      <c r="K73" s="170">
        <v>31185</v>
      </c>
      <c r="L73" s="170">
        <v>31572</v>
      </c>
      <c r="M73" s="170">
        <v>31748.47</v>
      </c>
      <c r="N73" s="203">
        <v>65501.555809108526</v>
      </c>
      <c r="O73" s="203">
        <v>66439.928188710226</v>
      </c>
      <c r="P73" s="203">
        <v>67395.629886079303</v>
      </c>
      <c r="Q73" s="203">
        <v>68366.580131792376</v>
      </c>
      <c r="R73" s="203">
        <v>69353.022292727241</v>
      </c>
      <c r="S73" s="203">
        <v>70355.203620609042</v>
      </c>
      <c r="T73" s="203">
        <v>71295.530882612118</v>
      </c>
      <c r="U73" s="203">
        <v>72256.272858208438</v>
      </c>
      <c r="V73" s="203">
        <v>73247.486614675057</v>
      </c>
      <c r="W73" s="203">
        <v>74275.790723388927</v>
      </c>
      <c r="X73" s="203">
        <v>75321.731664105275</v>
      </c>
      <c r="Y73" s="203">
        <v>76283.535985047449</v>
      </c>
      <c r="Z73" s="203">
        <v>77258.151612040863</v>
      </c>
      <c r="AA73" s="203">
        <v>78259.581057873103</v>
      </c>
      <c r="AB73" s="203">
        <v>79274.845145869534</v>
      </c>
      <c r="AC73" s="203">
        <v>80303.632812009033</v>
      </c>
      <c r="AD73" s="203">
        <v>81260.615799000152</v>
      </c>
      <c r="AE73" s="203">
        <v>82230.249553718328</v>
      </c>
      <c r="AF73" s="203">
        <v>83211.732854395086</v>
      </c>
      <c r="AG73" s="203">
        <v>84215.04112651528</v>
      </c>
      <c r="AH73" s="203">
        <v>85233.225976617628</v>
      </c>
      <c r="AI73" s="203">
        <v>86266.117573470867</v>
      </c>
      <c r="AJ73" s="203">
        <v>87311.299825034512</v>
      </c>
      <c r="AK73" s="203">
        <v>88369.255012625348</v>
      </c>
      <c r="AL73" s="203">
        <v>89441.777723507723</v>
      </c>
      <c r="AM73" s="203">
        <v>90527.236161222041</v>
      </c>
      <c r="AN73" s="203">
        <v>91625.959785845611</v>
      </c>
      <c r="AO73" s="203">
        <v>92738.110721201214</v>
      </c>
      <c r="AP73" s="203">
        <v>93868.475076585251</v>
      </c>
      <c r="AQ73" s="203">
        <v>95015.525983281361</v>
      </c>
      <c r="AR73" s="203">
        <v>96176.594877365365</v>
      </c>
    </row>
    <row r="74" spans="1:44" x14ac:dyDescent="0.2">
      <c r="B74" s="171"/>
      <c r="C74" s="172"/>
      <c r="D74" s="173"/>
      <c r="E74" s="172"/>
      <c r="F74" s="172"/>
      <c r="G74" s="171"/>
      <c r="H74" s="171"/>
      <c r="I74" s="174"/>
      <c r="J74" s="174"/>
      <c r="K74" s="174"/>
      <c r="L74" s="175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  <c r="AA74" s="176"/>
      <c r="AB74" s="176"/>
      <c r="AC74" s="176"/>
      <c r="AD74" s="176"/>
      <c r="AE74" s="176"/>
      <c r="AF74" s="176"/>
      <c r="AG74" s="176"/>
      <c r="AH74" s="176"/>
      <c r="AI74" s="176"/>
      <c r="AJ74" s="176"/>
      <c r="AK74" s="176"/>
      <c r="AL74" s="176"/>
      <c r="AM74" s="176"/>
      <c r="AN74" s="176"/>
      <c r="AO74" s="176"/>
      <c r="AP74" s="176"/>
      <c r="AQ74" s="176"/>
      <c r="AR74" s="176"/>
    </row>
    <row r="75" spans="1:44" x14ac:dyDescent="0.2">
      <c r="B75" s="139"/>
      <c r="C75" s="140" t="s">
        <v>241</v>
      </c>
      <c r="D75" s="141"/>
      <c r="E75" s="140"/>
      <c r="F75" s="140"/>
      <c r="G75" s="142"/>
      <c r="H75" s="142"/>
      <c r="I75" s="139"/>
      <c r="J75" s="139"/>
      <c r="K75" s="139"/>
      <c r="L75" s="143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0"/>
      <c r="X75" s="144"/>
      <c r="Y75" s="144"/>
      <c r="Z75" s="144"/>
      <c r="AA75" s="144"/>
      <c r="AB75" s="144"/>
      <c r="AC75" s="144"/>
      <c r="AD75" s="144"/>
      <c r="AE75" s="144"/>
      <c r="AF75" s="144"/>
      <c r="AG75" s="144"/>
      <c r="AH75" s="144"/>
      <c r="AI75" s="144"/>
      <c r="AJ75" s="144"/>
      <c r="AK75" s="144"/>
      <c r="AL75" s="144"/>
      <c r="AM75" s="144"/>
      <c r="AN75" s="144"/>
      <c r="AO75" s="144"/>
      <c r="AP75" s="144"/>
      <c r="AQ75" s="144"/>
      <c r="AR75" s="144"/>
    </row>
    <row r="76" spans="1:44" x14ac:dyDescent="0.2">
      <c r="A76" s="145"/>
      <c r="B76" s="146"/>
      <c r="C76" s="146" t="s">
        <v>218</v>
      </c>
      <c r="D76" s="147" t="s">
        <v>219</v>
      </c>
      <c r="E76" s="146"/>
      <c r="F76" s="146"/>
      <c r="G76" s="148">
        <v>2019</v>
      </c>
      <c r="H76" s="148">
        <v>2020</v>
      </c>
      <c r="I76" s="148">
        <v>2021</v>
      </c>
      <c r="J76" s="148">
        <v>2022</v>
      </c>
      <c r="K76" s="148">
        <v>2023</v>
      </c>
      <c r="L76" s="149">
        <v>45352</v>
      </c>
      <c r="M76" s="148">
        <v>2024</v>
      </c>
      <c r="N76" s="146">
        <v>2025</v>
      </c>
      <c r="O76" s="146">
        <v>2026</v>
      </c>
      <c r="P76" s="146">
        <v>2027</v>
      </c>
      <c r="Q76" s="146">
        <v>2028</v>
      </c>
      <c r="R76" s="146">
        <v>2029</v>
      </c>
      <c r="S76" s="146">
        <v>2030</v>
      </c>
      <c r="T76" s="146">
        <v>2031</v>
      </c>
      <c r="U76" s="146">
        <v>2032</v>
      </c>
      <c r="V76" s="146">
        <v>2033</v>
      </c>
      <c r="W76" s="146">
        <v>2034</v>
      </c>
      <c r="X76" s="146">
        <v>2035</v>
      </c>
      <c r="Y76" s="146">
        <v>2036</v>
      </c>
      <c r="Z76" s="146">
        <v>2037</v>
      </c>
      <c r="AA76" s="146">
        <v>2038</v>
      </c>
      <c r="AB76" s="146">
        <v>2039</v>
      </c>
      <c r="AC76" s="146">
        <v>2040</v>
      </c>
      <c r="AD76" s="146">
        <v>2041</v>
      </c>
      <c r="AE76" s="146">
        <v>2042</v>
      </c>
      <c r="AF76" s="146">
        <v>2043</v>
      </c>
      <c r="AG76" s="146">
        <v>2044</v>
      </c>
      <c r="AH76" s="146">
        <v>2045</v>
      </c>
      <c r="AI76" s="146">
        <v>2046</v>
      </c>
      <c r="AJ76" s="146">
        <v>2047</v>
      </c>
      <c r="AK76" s="146">
        <v>2048</v>
      </c>
      <c r="AL76" s="146">
        <v>2049</v>
      </c>
      <c r="AM76" s="146">
        <v>2050</v>
      </c>
      <c r="AN76" s="146">
        <v>2051</v>
      </c>
      <c r="AO76" s="146">
        <v>2052</v>
      </c>
      <c r="AP76" s="146">
        <v>2053</v>
      </c>
      <c r="AQ76" s="146">
        <v>2054</v>
      </c>
      <c r="AR76" s="146">
        <v>2055</v>
      </c>
    </row>
    <row r="77" spans="1:44" x14ac:dyDescent="0.2">
      <c r="A77" s="184"/>
      <c r="B77" s="185"/>
      <c r="C77" s="185"/>
      <c r="D77" s="186"/>
      <c r="E77" s="185"/>
      <c r="F77" s="185"/>
      <c r="G77" s="187"/>
      <c r="H77" s="187"/>
      <c r="I77" s="187"/>
      <c r="J77" s="187"/>
      <c r="K77" s="188"/>
      <c r="L77" s="188"/>
      <c r="M77" s="188"/>
      <c r="N77" s="188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  <c r="AA77" s="185"/>
      <c r="AB77" s="185"/>
      <c r="AC77" s="185"/>
      <c r="AD77" s="185"/>
      <c r="AE77" s="185"/>
      <c r="AF77" s="185"/>
      <c r="AG77" s="185"/>
      <c r="AH77" s="185"/>
      <c r="AI77" s="185"/>
      <c r="AJ77" s="185"/>
      <c r="AK77" s="185"/>
      <c r="AL77" s="185"/>
      <c r="AM77" s="185"/>
      <c r="AN77" s="185"/>
      <c r="AO77" s="185"/>
      <c r="AP77" s="185"/>
      <c r="AQ77" s="185"/>
      <c r="AR77" s="185"/>
    </row>
    <row r="78" spans="1:44" x14ac:dyDescent="0.2">
      <c r="B78" s="198"/>
      <c r="C78" s="198"/>
      <c r="D78" s="199"/>
      <c r="E78" s="200"/>
      <c r="F78" s="150"/>
      <c r="G78" s="150"/>
      <c r="H78" s="150"/>
      <c r="I78" s="150"/>
      <c r="J78" s="150"/>
      <c r="K78" s="150"/>
      <c r="L78" s="150"/>
      <c r="M78" s="150"/>
      <c r="N78" s="198"/>
      <c r="O78" s="198"/>
      <c r="P78" s="198"/>
      <c r="Q78" s="198"/>
      <c r="R78" s="198"/>
      <c r="S78" s="198"/>
      <c r="T78" s="198"/>
      <c r="U78" s="198"/>
      <c r="V78" s="198"/>
      <c r="W78" s="198"/>
      <c r="X78" s="198"/>
      <c r="Y78" s="198"/>
      <c r="Z78" s="198"/>
      <c r="AA78" s="198"/>
      <c r="AB78" s="198"/>
      <c r="AC78" s="198"/>
      <c r="AD78" s="198"/>
      <c r="AE78" s="198"/>
      <c r="AF78" s="198"/>
      <c r="AG78" s="198"/>
      <c r="AH78" s="198"/>
      <c r="AI78" s="198"/>
      <c r="AJ78" s="198"/>
      <c r="AK78" s="198"/>
      <c r="AL78" s="198"/>
      <c r="AM78" s="198"/>
      <c r="AN78" s="198"/>
      <c r="AO78" s="198"/>
      <c r="AP78" s="198"/>
      <c r="AQ78" s="198"/>
      <c r="AR78" s="198"/>
    </row>
    <row r="79" spans="1:44" x14ac:dyDescent="0.2">
      <c r="B79" s="154">
        <v>1</v>
      </c>
      <c r="C79" s="137" t="s">
        <v>220</v>
      </c>
      <c r="D79" s="155" t="s">
        <v>221</v>
      </c>
      <c r="F79" s="204"/>
      <c r="G79" s="156">
        <v>0</v>
      </c>
      <c r="H79" s="156">
        <v>0</v>
      </c>
      <c r="I79" s="156">
        <v>0</v>
      </c>
      <c r="J79" s="156">
        <v>0</v>
      </c>
      <c r="K79" s="156">
        <v>135</v>
      </c>
      <c r="L79" s="156">
        <v>130</v>
      </c>
      <c r="M79" s="156">
        <v>131.30000000000001</v>
      </c>
      <c r="N79" s="156">
        <v>131.95650000000001</v>
      </c>
      <c r="O79" s="156">
        <v>132.61628250000001</v>
      </c>
      <c r="P79" s="156">
        <v>133.2793639125</v>
      </c>
      <c r="Q79" s="156">
        <v>133.94576073206247</v>
      </c>
      <c r="R79" s="156">
        <v>134.61548953572279</v>
      </c>
      <c r="S79" s="156">
        <v>137.30779932643725</v>
      </c>
      <c r="T79" s="156">
        <v>140.05395531296602</v>
      </c>
      <c r="U79" s="156">
        <v>142.85503441922532</v>
      </c>
      <c r="V79" s="156">
        <v>145.71213510760984</v>
      </c>
      <c r="W79" s="156">
        <v>148.62637780976203</v>
      </c>
      <c r="X79" s="156">
        <v>150.85577347690844</v>
      </c>
      <c r="Y79" s="156">
        <v>153.11861007906208</v>
      </c>
      <c r="Z79" s="156">
        <v>155.415389230248</v>
      </c>
      <c r="AA79" s="156">
        <v>157.7466200687017</v>
      </c>
      <c r="AB79" s="156">
        <v>160.11281936973222</v>
      </c>
      <c r="AC79" s="156">
        <v>161.71394756342954</v>
      </c>
      <c r="AD79" s="156">
        <v>163.33108703906385</v>
      </c>
      <c r="AE79" s="156">
        <v>164.9643979094545</v>
      </c>
      <c r="AF79" s="156">
        <v>166.61404188854902</v>
      </c>
      <c r="AG79" s="156">
        <v>168.28018230743453</v>
      </c>
      <c r="AH79" s="156">
        <v>169.96298413050886</v>
      </c>
      <c r="AI79" s="156">
        <v>171.66261397181395</v>
      </c>
      <c r="AJ79" s="156">
        <v>173.37924011153208</v>
      </c>
      <c r="AK79" s="156">
        <v>175.11303251264741</v>
      </c>
      <c r="AL79" s="156">
        <v>176.8641628377739</v>
      </c>
      <c r="AM79" s="156">
        <v>178.63280446615164</v>
      </c>
      <c r="AN79" s="156">
        <v>180.41913251081314</v>
      </c>
      <c r="AO79" s="156">
        <v>182.22332383592129</v>
      </c>
      <c r="AP79" s="156">
        <v>184.04555707428051</v>
      </c>
      <c r="AQ79" s="156">
        <v>185.88601264502333</v>
      </c>
      <c r="AR79" s="156">
        <v>187.74487277147352</v>
      </c>
    </row>
    <row r="80" spans="1:44" x14ac:dyDescent="0.2">
      <c r="B80" s="154">
        <v>2</v>
      </c>
      <c r="C80" s="137" t="s">
        <v>222</v>
      </c>
      <c r="D80" s="155" t="s">
        <v>223</v>
      </c>
      <c r="F80" s="204"/>
      <c r="G80" s="156">
        <v>0</v>
      </c>
      <c r="H80" s="156">
        <v>0</v>
      </c>
      <c r="I80" s="156">
        <v>0</v>
      </c>
      <c r="J80" s="156">
        <v>0</v>
      </c>
      <c r="K80" s="156">
        <v>0</v>
      </c>
      <c r="L80" s="156">
        <v>0</v>
      </c>
      <c r="M80" s="156">
        <v>0</v>
      </c>
      <c r="N80" s="156">
        <v>13.064999999999998</v>
      </c>
      <c r="O80" s="156">
        <v>13.130324999999996</v>
      </c>
      <c r="P80" s="156">
        <v>13.195976624999995</v>
      </c>
      <c r="Q80" s="156">
        <v>13.261956508124994</v>
      </c>
      <c r="R80" s="156">
        <v>13.328266290665617</v>
      </c>
      <c r="S80" s="156">
        <v>13.394907622118943</v>
      </c>
      <c r="T80" s="156">
        <v>13.461882160229536</v>
      </c>
      <c r="U80" s="156">
        <v>13.529191571030683</v>
      </c>
      <c r="V80" s="156">
        <v>13.596837528885835</v>
      </c>
      <c r="W80" s="156">
        <v>13.664821716530263</v>
      </c>
      <c r="X80" s="156">
        <v>13.733145825112913</v>
      </c>
      <c r="Y80" s="156">
        <v>13.801811554238476</v>
      </c>
      <c r="Z80" s="156">
        <v>13.870820612009666</v>
      </c>
      <c r="AA80" s="156">
        <v>13.940174715069713</v>
      </c>
      <c r="AB80" s="156">
        <v>14.009875588645061</v>
      </c>
      <c r="AC80" s="156">
        <v>14.079924966588283</v>
      </c>
      <c r="AD80" s="156">
        <v>14.150324591421224</v>
      </c>
      <c r="AE80" s="156">
        <v>14.221076214378328</v>
      </c>
      <c r="AF80" s="156">
        <v>14.29218159545022</v>
      </c>
      <c r="AG80" s="156">
        <v>14.363642503427471</v>
      </c>
      <c r="AH80" s="156">
        <v>14.435460715944606</v>
      </c>
      <c r="AI80" s="156">
        <v>14.507638019524327</v>
      </c>
      <c r="AJ80" s="156">
        <v>14.580176209621948</v>
      </c>
      <c r="AK80" s="156">
        <v>14.653077090670056</v>
      </c>
      <c r="AL80" s="156">
        <v>14.726342476123403</v>
      </c>
      <c r="AM80" s="156">
        <v>14.79997418850402</v>
      </c>
      <c r="AN80" s="156">
        <v>14.873974059446537</v>
      </c>
      <c r="AO80" s="156">
        <v>14.948343929743768</v>
      </c>
      <c r="AP80" s="156">
        <v>15.023085649392485</v>
      </c>
      <c r="AQ80" s="156">
        <v>15.098201077639446</v>
      </c>
      <c r="AR80" s="156">
        <v>15.173692083027642</v>
      </c>
    </row>
    <row r="81" spans="1:44" x14ac:dyDescent="0.2">
      <c r="B81" s="154">
        <v>3</v>
      </c>
      <c r="C81" s="137" t="s">
        <v>224</v>
      </c>
      <c r="D81" s="155" t="s">
        <v>225</v>
      </c>
      <c r="F81" s="204"/>
      <c r="G81" s="156">
        <v>0</v>
      </c>
      <c r="H81" s="156">
        <v>0</v>
      </c>
      <c r="I81" s="156">
        <v>0</v>
      </c>
      <c r="J81" s="156">
        <v>0</v>
      </c>
      <c r="K81" s="156">
        <v>501</v>
      </c>
      <c r="L81" s="156">
        <v>501</v>
      </c>
      <c r="M81" s="156">
        <v>501</v>
      </c>
      <c r="N81" s="156">
        <v>503.50499999999988</v>
      </c>
      <c r="O81" s="156">
        <v>506.02252499999992</v>
      </c>
      <c r="P81" s="156">
        <v>508.55263762499999</v>
      </c>
      <c r="Q81" s="156">
        <v>511.09540081312485</v>
      </c>
      <c r="R81" s="156">
        <v>513.65087781719058</v>
      </c>
      <c r="S81" s="156">
        <v>534.19691292987818</v>
      </c>
      <c r="T81" s="156">
        <v>555.56478944707328</v>
      </c>
      <c r="U81" s="156">
        <v>577.78738102495618</v>
      </c>
      <c r="V81" s="156">
        <v>600.89887626595441</v>
      </c>
      <c r="W81" s="156">
        <v>624.93483131659264</v>
      </c>
      <c r="X81" s="156">
        <v>631.18417962975855</v>
      </c>
      <c r="Y81" s="156">
        <v>637.49602142605613</v>
      </c>
      <c r="Z81" s="156">
        <v>643.8709816403167</v>
      </c>
      <c r="AA81" s="156">
        <v>650.30969145671986</v>
      </c>
      <c r="AB81" s="156">
        <v>656.81278837128707</v>
      </c>
      <c r="AC81" s="156">
        <v>663.38091625499987</v>
      </c>
      <c r="AD81" s="156">
        <v>670.01472541754993</v>
      </c>
      <c r="AE81" s="156">
        <v>676.7148726717254</v>
      </c>
      <c r="AF81" s="156">
        <v>683.48202139844261</v>
      </c>
      <c r="AG81" s="156">
        <v>690.3168416124272</v>
      </c>
      <c r="AH81" s="156">
        <v>693.76842582048926</v>
      </c>
      <c r="AI81" s="156">
        <v>697.23726794959168</v>
      </c>
      <c r="AJ81" s="156">
        <v>700.72345428933966</v>
      </c>
      <c r="AK81" s="156">
        <v>704.22707156078638</v>
      </c>
      <c r="AL81" s="156">
        <v>707.7482069185902</v>
      </c>
      <c r="AM81" s="156">
        <v>711.28694795318302</v>
      </c>
      <c r="AN81" s="156">
        <v>714.84338269294904</v>
      </c>
      <c r="AO81" s="156">
        <v>718.41759960641366</v>
      </c>
      <c r="AP81" s="156">
        <v>722.00968760444562</v>
      </c>
      <c r="AQ81" s="156">
        <v>725.61973604246782</v>
      </c>
      <c r="AR81" s="156">
        <v>729.24783472268018</v>
      </c>
    </row>
    <row r="82" spans="1:44" x14ac:dyDescent="0.2">
      <c r="B82" s="154">
        <v>4</v>
      </c>
      <c r="C82" s="137" t="s">
        <v>226</v>
      </c>
      <c r="D82" s="155" t="s">
        <v>227</v>
      </c>
      <c r="F82" s="204"/>
      <c r="G82" s="156">
        <v>0</v>
      </c>
      <c r="H82" s="156">
        <v>0</v>
      </c>
      <c r="I82" s="156">
        <v>0</v>
      </c>
      <c r="J82" s="156">
        <v>0</v>
      </c>
      <c r="K82" s="156">
        <v>31</v>
      </c>
      <c r="L82" s="156">
        <v>31</v>
      </c>
      <c r="M82" s="156">
        <v>31</v>
      </c>
      <c r="N82" s="156">
        <v>222.21999999999997</v>
      </c>
      <c r="O82" s="156">
        <v>223.44744999999998</v>
      </c>
      <c r="P82" s="156">
        <v>224.68240074999991</v>
      </c>
      <c r="Q82" s="156">
        <v>225.92490338874987</v>
      </c>
      <c r="R82" s="156">
        <v>227.17500944704364</v>
      </c>
      <c r="S82" s="156">
        <v>229.00031627809631</v>
      </c>
      <c r="T82" s="156">
        <v>230.85603259681878</v>
      </c>
      <c r="U82" s="156">
        <v>232.74294893925483</v>
      </c>
      <c r="V82" s="156">
        <v>234.66187894878666</v>
      </c>
      <c r="W82" s="156">
        <v>236.61366006631116</v>
      </c>
      <c r="X82" s="156">
        <v>238.27018389132112</v>
      </c>
      <c r="Y82" s="156">
        <v>239.9448594459497</v>
      </c>
      <c r="Z82" s="156">
        <v>241.63797487105484</v>
      </c>
      <c r="AA82" s="156">
        <v>243.34982369584304</v>
      </c>
      <c r="AB82" s="156">
        <v>245.08070494376386</v>
      </c>
      <c r="AC82" s="156">
        <v>246.46771339249275</v>
      </c>
      <c r="AD82" s="156">
        <v>247.86347293270541</v>
      </c>
      <c r="AE82" s="156">
        <v>249.2680454803517</v>
      </c>
      <c r="AF82" s="156">
        <v>250.68149344256599</v>
      </c>
      <c r="AG82" s="156">
        <v>252.10387972193953</v>
      </c>
      <c r="AH82" s="156">
        <v>253.53526772083151</v>
      </c>
      <c r="AI82" s="156">
        <v>254.97572134572073</v>
      </c>
      <c r="AJ82" s="156">
        <v>256.42530501159735</v>
      </c>
      <c r="AK82" s="156">
        <v>257.88408364639474</v>
      </c>
      <c r="AL82" s="156">
        <v>259.35212269546361</v>
      </c>
      <c r="AM82" s="156">
        <v>260.82948812608612</v>
      </c>
      <c r="AN82" s="156">
        <v>262.31624643203321</v>
      </c>
      <c r="AO82" s="156">
        <v>263.81246463816319</v>
      </c>
      <c r="AP82" s="156">
        <v>265.31821030506359</v>
      </c>
      <c r="AQ82" s="156">
        <v>266.83355153373543</v>
      </c>
      <c r="AR82" s="156">
        <v>268.35855697032224</v>
      </c>
    </row>
    <row r="83" spans="1:44" x14ac:dyDescent="0.2">
      <c r="B83" s="154">
        <v>5</v>
      </c>
      <c r="C83" s="137" t="s">
        <v>228</v>
      </c>
      <c r="D83" s="155" t="s">
        <v>221</v>
      </c>
      <c r="F83" s="204"/>
      <c r="G83" s="156">
        <v>0</v>
      </c>
      <c r="H83" s="156">
        <v>0</v>
      </c>
      <c r="I83" s="156">
        <v>0</v>
      </c>
      <c r="J83" s="156">
        <v>0</v>
      </c>
      <c r="K83" s="156">
        <v>80.070000000000007</v>
      </c>
      <c r="L83" s="156">
        <v>80.140699999999995</v>
      </c>
      <c r="M83" s="156">
        <v>80.140699999999995</v>
      </c>
      <c r="N83" s="156">
        <v>80.942107000000021</v>
      </c>
      <c r="O83" s="156">
        <v>81.751528070000006</v>
      </c>
      <c r="P83" s="156">
        <v>82.569043350700014</v>
      </c>
      <c r="Q83" s="156">
        <v>83.394733784207006</v>
      </c>
      <c r="R83" s="156">
        <v>85.89657579773322</v>
      </c>
      <c r="S83" s="156">
        <v>88.473473071665197</v>
      </c>
      <c r="T83" s="156">
        <v>91.127677263815173</v>
      </c>
      <c r="U83" s="156">
        <v>93.861507581729626</v>
      </c>
      <c r="V83" s="156">
        <v>96.677352809181528</v>
      </c>
      <c r="W83" s="156">
        <v>98.610899865365155</v>
      </c>
      <c r="X83" s="156">
        <v>100.58311786267245</v>
      </c>
      <c r="Y83" s="156">
        <v>102.59478021992588</v>
      </c>
      <c r="Z83" s="156">
        <v>104.6466758243244</v>
      </c>
      <c r="AA83" s="156">
        <v>106.73960934081089</v>
      </c>
      <c r="AB83" s="156">
        <v>107.80700543421901</v>
      </c>
      <c r="AC83" s="156">
        <v>108.8850754885612</v>
      </c>
      <c r="AD83" s="156">
        <v>109.9739262434468</v>
      </c>
      <c r="AE83" s="156">
        <v>111.07366550588128</v>
      </c>
      <c r="AF83" s="156">
        <v>112.1844021609401</v>
      </c>
      <c r="AG83" s="156">
        <v>113.30624618254949</v>
      </c>
      <c r="AH83" s="156">
        <v>114.439308644375</v>
      </c>
      <c r="AI83" s="156">
        <v>115.58370173081873</v>
      </c>
      <c r="AJ83" s="156">
        <v>116.73953874812693</v>
      </c>
      <c r="AK83" s="156">
        <v>117.90693413560818</v>
      </c>
      <c r="AL83" s="156">
        <v>119.08600347696427</v>
      </c>
      <c r="AM83" s="156">
        <v>120.27686351173392</v>
      </c>
      <c r="AN83" s="156">
        <v>121.47963214685126</v>
      </c>
      <c r="AO83" s="156">
        <v>122.69442846831977</v>
      </c>
      <c r="AP83" s="156">
        <v>123.92137275300296</v>
      </c>
      <c r="AQ83" s="156">
        <v>125.16058648053298</v>
      </c>
      <c r="AR83" s="156">
        <v>126.41219234533831</v>
      </c>
    </row>
    <row r="84" spans="1:44" x14ac:dyDescent="0.2">
      <c r="B84" s="154">
        <v>6</v>
      </c>
      <c r="C84" s="137" t="s">
        <v>229</v>
      </c>
      <c r="D84" s="155" t="s">
        <v>230</v>
      </c>
      <c r="F84" s="204"/>
      <c r="G84" s="156">
        <v>0</v>
      </c>
      <c r="H84" s="156">
        <v>0</v>
      </c>
      <c r="I84" s="156">
        <v>0</v>
      </c>
      <c r="J84" s="156">
        <v>0</v>
      </c>
      <c r="K84" s="156">
        <v>517</v>
      </c>
      <c r="L84" s="156">
        <v>517</v>
      </c>
      <c r="M84" s="156">
        <v>517</v>
      </c>
      <c r="N84" s="156">
        <v>978.61</v>
      </c>
      <c r="O84" s="156">
        <v>999.42814999999996</v>
      </c>
      <c r="P84" s="156">
        <v>1019.45859275</v>
      </c>
      <c r="Q84" s="156">
        <v>1039.7055537537499</v>
      </c>
      <c r="R84" s="156">
        <v>1060.1733429233188</v>
      </c>
      <c r="S84" s="156">
        <v>1092.2825517718393</v>
      </c>
      <c r="T84" s="156">
        <v>1125.3064403499588</v>
      </c>
      <c r="U84" s="156">
        <v>1161.2815474037391</v>
      </c>
      <c r="V84" s="156">
        <v>1197.2458729868695</v>
      </c>
      <c r="W84" s="156">
        <v>1234.23893691176</v>
      </c>
      <c r="X84" s="156">
        <v>1258.4122921430421</v>
      </c>
      <c r="Y84" s="156">
        <v>1284.8648573614153</v>
      </c>
      <c r="Z84" s="156">
        <v>1309.6021954810335</v>
      </c>
      <c r="AA84" s="156">
        <v>1336.6299805679055</v>
      </c>
      <c r="AB84" s="156">
        <v>1362.954000062402</v>
      </c>
      <c r="AC84" s="156">
        <v>1383.9125657238769</v>
      </c>
      <c r="AD84" s="156">
        <v>1404.9492621702711</v>
      </c>
      <c r="AE84" s="156">
        <v>1425.064863435075</v>
      </c>
      <c r="AF84" s="156">
        <v>1446.2601512557426</v>
      </c>
      <c r="AG84" s="156">
        <v>1465.5359151505486</v>
      </c>
      <c r="AH84" s="156">
        <v>1489.8929524962134</v>
      </c>
      <c r="AI84" s="156">
        <v>1512.3320686063059</v>
      </c>
      <c r="AJ84" s="156">
        <v>1534.8540768104251</v>
      </c>
      <c r="AK84" s="156">
        <v>1558.4597985341757</v>
      </c>
      <c r="AL84" s="156">
        <v>1582.1500633799419</v>
      </c>
      <c r="AM84" s="156">
        <v>1605.9257092084679</v>
      </c>
      <c r="AN84" s="156">
        <v>1631.7875822212532</v>
      </c>
      <c r="AO84" s="156">
        <v>1656.7365370437694</v>
      </c>
      <c r="AP84" s="156">
        <v>1681.7734368095123</v>
      </c>
      <c r="AQ84" s="156">
        <v>1708.8991532448892</v>
      </c>
      <c r="AR84" s="156">
        <v>1735.1145667549563</v>
      </c>
    </row>
    <row r="85" spans="1:44" x14ac:dyDescent="0.2">
      <c r="B85" s="154">
        <v>7</v>
      </c>
      <c r="C85" s="137" t="s">
        <v>231</v>
      </c>
      <c r="D85" s="155" t="s">
        <v>225</v>
      </c>
      <c r="F85" s="204"/>
      <c r="G85" s="156">
        <v>0</v>
      </c>
      <c r="H85" s="156">
        <v>0</v>
      </c>
      <c r="I85" s="156">
        <v>0</v>
      </c>
      <c r="J85" s="156">
        <v>0</v>
      </c>
      <c r="K85" s="156">
        <v>72</v>
      </c>
      <c r="L85" s="156">
        <v>75</v>
      </c>
      <c r="M85" s="156">
        <v>76</v>
      </c>
      <c r="N85" s="156">
        <v>76.760000000000005</v>
      </c>
      <c r="O85" s="156">
        <v>77.527600000000007</v>
      </c>
      <c r="P85" s="156">
        <v>78.302876000000012</v>
      </c>
      <c r="Q85" s="156">
        <v>79.08590476000002</v>
      </c>
      <c r="R85" s="156">
        <v>79.876763807600014</v>
      </c>
      <c r="S85" s="156">
        <v>83.071834359904017</v>
      </c>
      <c r="T85" s="156">
        <v>86.394707734300169</v>
      </c>
      <c r="U85" s="156">
        <v>89.850496043672166</v>
      </c>
      <c r="V85" s="156">
        <v>93.444515885419079</v>
      </c>
      <c r="W85" s="156">
        <v>97.18229652083582</v>
      </c>
      <c r="X85" s="156">
        <v>99.125942451252541</v>
      </c>
      <c r="Y85" s="156">
        <v>101.10846130027758</v>
      </c>
      <c r="Z85" s="156">
        <v>103.13063052628316</v>
      </c>
      <c r="AA85" s="156">
        <v>105.1932431368088</v>
      </c>
      <c r="AB85" s="156">
        <v>107.29710799954498</v>
      </c>
      <c r="AC85" s="156">
        <v>108.37007907954043</v>
      </c>
      <c r="AD85" s="156">
        <v>109.45377987033584</v>
      </c>
      <c r="AE85" s="156">
        <v>110.54831766903919</v>
      </c>
      <c r="AF85" s="156">
        <v>111.65380084572958</v>
      </c>
      <c r="AG85" s="156">
        <v>112.77033885418689</v>
      </c>
      <c r="AH85" s="156">
        <v>113.89804224272875</v>
      </c>
      <c r="AI85" s="156">
        <v>115.03702266515603</v>
      </c>
      <c r="AJ85" s="156">
        <v>116.18739289180759</v>
      </c>
      <c r="AK85" s="156">
        <v>117.34926682072569</v>
      </c>
      <c r="AL85" s="156">
        <v>118.52275948893292</v>
      </c>
      <c r="AM85" s="156">
        <v>119.70798708382226</v>
      </c>
      <c r="AN85" s="156">
        <v>120.90506695466048</v>
      </c>
      <c r="AO85" s="156">
        <v>122.1141176242071</v>
      </c>
      <c r="AP85" s="156">
        <v>123.33525880044917</v>
      </c>
      <c r="AQ85" s="156">
        <v>124.56861138845366</v>
      </c>
      <c r="AR85" s="156">
        <v>125.81429750233821</v>
      </c>
    </row>
    <row r="86" spans="1:44" x14ac:dyDescent="0.2">
      <c r="B86" s="154">
        <v>8</v>
      </c>
      <c r="C86" s="137" t="s">
        <v>232</v>
      </c>
      <c r="D86" s="155" t="s">
        <v>233</v>
      </c>
      <c r="F86" s="204"/>
      <c r="G86" s="156">
        <v>0</v>
      </c>
      <c r="H86" s="156">
        <v>0</v>
      </c>
      <c r="I86" s="156">
        <v>0</v>
      </c>
      <c r="J86" s="156">
        <v>0</v>
      </c>
      <c r="K86" s="156">
        <v>38</v>
      </c>
      <c r="L86" s="156">
        <v>37</v>
      </c>
      <c r="M86" s="156">
        <v>37</v>
      </c>
      <c r="N86" s="156">
        <v>1746.2919999999997</v>
      </c>
      <c r="O86" s="156">
        <v>1753.7512219999994</v>
      </c>
      <c r="P86" s="156">
        <v>1761.3825645219997</v>
      </c>
      <c r="Q86" s="156">
        <v>1769.1910722595212</v>
      </c>
      <c r="R86" s="156">
        <v>1777.1819404553105</v>
      </c>
      <c r="S86" s="156">
        <v>1786.1382668473693</v>
      </c>
      <c r="T86" s="156">
        <v>1795.3189238993677</v>
      </c>
      <c r="U86" s="156">
        <v>1804.7305971719727</v>
      </c>
      <c r="V86" s="156">
        <v>1814.3801727483117</v>
      </c>
      <c r="W86" s="156">
        <v>1824.2747432496021</v>
      </c>
      <c r="X86" s="156">
        <v>1833.9708028111734</v>
      </c>
      <c r="Y86" s="156">
        <v>1843.9041465636742</v>
      </c>
      <c r="Z86" s="156">
        <v>1854.0816681269732</v>
      </c>
      <c r="AA86" s="156">
        <v>1864.510464278464</v>
      </c>
      <c r="AB86" s="156">
        <v>1875.197840975615</v>
      </c>
      <c r="AC86" s="156">
        <v>1885.6535875438055</v>
      </c>
      <c r="AD86" s="156">
        <v>1896.3682471441284</v>
      </c>
      <c r="AE86" s="156">
        <v>1907.349442816422</v>
      </c>
      <c r="AF86" s="156">
        <v>1918.6050252514483</v>
      </c>
      <c r="AG86" s="156">
        <v>1930.1430796104248</v>
      </c>
      <c r="AH86" s="156">
        <v>1941.9719325490389</v>
      </c>
      <c r="AI86" s="156">
        <v>1954.1001594520817</v>
      </c>
      <c r="AJ86" s="156">
        <v>1966.5365918850182</v>
      </c>
      <c r="AK86" s="156">
        <v>1979.2903252690082</v>
      </c>
      <c r="AL86" s="156">
        <v>1992.3707267860643</v>
      </c>
      <c r="AM86" s="156">
        <v>2005.7874435212705</v>
      </c>
      <c r="AN86" s="156">
        <v>2019.5504108491516</v>
      </c>
      <c r="AO86" s="156">
        <v>2033.6698610715355</v>
      </c>
      <c r="AP86" s="156">
        <v>2048.1563323144392</v>
      </c>
      <c r="AQ86" s="156">
        <v>2063.0206776917503</v>
      </c>
      <c r="AR86" s="156">
        <v>2078.2740747437169</v>
      </c>
    </row>
    <row r="87" spans="1:44" x14ac:dyDescent="0.2">
      <c r="B87" s="157"/>
      <c r="C87" s="158" t="s">
        <v>84</v>
      </c>
      <c r="D87" s="159"/>
      <c r="E87" s="193"/>
      <c r="F87" s="203"/>
      <c r="G87" s="170">
        <v>0</v>
      </c>
      <c r="H87" s="170">
        <v>0</v>
      </c>
      <c r="I87" s="170">
        <v>0</v>
      </c>
      <c r="J87" s="170">
        <v>0</v>
      </c>
      <c r="K87" s="170">
        <v>1374.0700000000002</v>
      </c>
      <c r="L87" s="170">
        <v>1371.1406999999999</v>
      </c>
      <c r="M87" s="170">
        <v>1373.4407000000001</v>
      </c>
      <c r="N87" s="205">
        <v>3753.3506069999999</v>
      </c>
      <c r="O87" s="205">
        <v>3787.6750825699992</v>
      </c>
      <c r="P87" s="205">
        <v>3821.4234555351995</v>
      </c>
      <c r="Q87" s="205">
        <v>3855.6052859995402</v>
      </c>
      <c r="R87" s="205">
        <v>3891.8982660745851</v>
      </c>
      <c r="S87" s="205">
        <v>3963.8660622073085</v>
      </c>
      <c r="T87" s="205">
        <v>4038.0844087645296</v>
      </c>
      <c r="U87" s="205">
        <v>4116.6387041555809</v>
      </c>
      <c r="V87" s="205">
        <v>4196.6176422810186</v>
      </c>
      <c r="W87" s="205">
        <v>4278.1465674567589</v>
      </c>
      <c r="X87" s="205">
        <v>4326.1354380912417</v>
      </c>
      <c r="Y87" s="205">
        <v>4376.8335479505995</v>
      </c>
      <c r="Z87" s="205">
        <v>4426.2563363122435</v>
      </c>
      <c r="AA87" s="205">
        <v>4478.4196072603227</v>
      </c>
      <c r="AB87" s="205">
        <v>4529.2721427452088</v>
      </c>
      <c r="AC87" s="205">
        <v>4572.4638100132943</v>
      </c>
      <c r="AD87" s="205">
        <v>4616.1048254089228</v>
      </c>
      <c r="AE87" s="205">
        <v>4659.2046817023274</v>
      </c>
      <c r="AF87" s="205">
        <v>4703.7731178388685</v>
      </c>
      <c r="AG87" s="205">
        <v>4746.8201259429388</v>
      </c>
      <c r="AH87" s="205">
        <v>4791.904374320131</v>
      </c>
      <c r="AI87" s="205">
        <v>4835.4361937410131</v>
      </c>
      <c r="AJ87" s="205">
        <v>4879.4257759574693</v>
      </c>
      <c r="AK87" s="205">
        <v>4924.8835895700167</v>
      </c>
      <c r="AL87" s="205">
        <v>4970.8203880598548</v>
      </c>
      <c r="AM87" s="205">
        <v>5017.2472180592194</v>
      </c>
      <c r="AN87" s="205">
        <v>5066.1754278671588</v>
      </c>
      <c r="AO87" s="205">
        <v>5114.6166762180737</v>
      </c>
      <c r="AP87" s="205">
        <v>5163.5829413105857</v>
      </c>
      <c r="AQ87" s="205">
        <v>5215.0865301044923</v>
      </c>
      <c r="AR87" s="205">
        <v>5266.140087893853</v>
      </c>
    </row>
    <row r="88" spans="1:44" x14ac:dyDescent="0.2">
      <c r="B88" s="154"/>
      <c r="D88" s="155"/>
      <c r="G88" s="154"/>
      <c r="H88" s="154"/>
      <c r="I88" s="154"/>
      <c r="J88" s="154"/>
      <c r="K88" s="154"/>
      <c r="L88" s="206"/>
      <c r="W88" s="172"/>
    </row>
    <row r="89" spans="1:44" x14ac:dyDescent="0.2">
      <c r="B89" s="139"/>
      <c r="C89" s="140" t="s">
        <v>242</v>
      </c>
      <c r="D89" s="141"/>
      <c r="E89" s="140"/>
      <c r="F89" s="140"/>
      <c r="G89" s="142"/>
      <c r="H89" s="142"/>
      <c r="I89" s="139"/>
      <c r="J89" s="139"/>
      <c r="K89" s="139"/>
      <c r="L89" s="143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0"/>
      <c r="X89" s="144"/>
      <c r="Y89" s="144"/>
      <c r="Z89" s="144"/>
      <c r="AA89" s="144"/>
      <c r="AB89" s="144"/>
      <c r="AC89" s="144"/>
      <c r="AD89" s="144"/>
      <c r="AE89" s="144"/>
      <c r="AF89" s="144"/>
      <c r="AG89" s="144"/>
      <c r="AH89" s="144"/>
      <c r="AI89" s="144"/>
      <c r="AJ89" s="144"/>
      <c r="AK89" s="144"/>
      <c r="AL89" s="144"/>
      <c r="AM89" s="144"/>
      <c r="AN89" s="144"/>
      <c r="AO89" s="144"/>
      <c r="AP89" s="144"/>
      <c r="AQ89" s="144"/>
      <c r="AR89" s="144"/>
    </row>
    <row r="90" spans="1:44" x14ac:dyDescent="0.2">
      <c r="A90" s="145"/>
      <c r="B90" s="146"/>
      <c r="C90" s="146" t="s">
        <v>218</v>
      </c>
      <c r="D90" s="147" t="s">
        <v>219</v>
      </c>
      <c r="E90" s="146"/>
      <c r="F90" s="146"/>
      <c r="G90" s="148">
        <v>2019</v>
      </c>
      <c r="H90" s="148">
        <v>2020</v>
      </c>
      <c r="I90" s="148">
        <v>2021</v>
      </c>
      <c r="J90" s="148">
        <v>2022</v>
      </c>
      <c r="K90" s="148">
        <v>2023</v>
      </c>
      <c r="L90" s="149">
        <v>45352</v>
      </c>
      <c r="M90" s="148">
        <v>2024</v>
      </c>
      <c r="N90" s="146">
        <v>2025</v>
      </c>
      <c r="O90" s="146">
        <v>2026</v>
      </c>
      <c r="P90" s="146">
        <v>2027</v>
      </c>
      <c r="Q90" s="146">
        <v>2028</v>
      </c>
      <c r="R90" s="146">
        <v>2029</v>
      </c>
      <c r="S90" s="146">
        <v>2030</v>
      </c>
      <c r="T90" s="146">
        <v>2031</v>
      </c>
      <c r="U90" s="146">
        <v>2032</v>
      </c>
      <c r="V90" s="146">
        <v>2033</v>
      </c>
      <c r="W90" s="146">
        <v>2034</v>
      </c>
      <c r="X90" s="146">
        <v>2035</v>
      </c>
      <c r="Y90" s="146">
        <v>2036</v>
      </c>
      <c r="Z90" s="146">
        <v>2037</v>
      </c>
      <c r="AA90" s="146">
        <v>2038</v>
      </c>
      <c r="AB90" s="146">
        <v>2039</v>
      </c>
      <c r="AC90" s="146">
        <v>2040</v>
      </c>
      <c r="AD90" s="146">
        <v>2041</v>
      </c>
      <c r="AE90" s="146">
        <v>2042</v>
      </c>
      <c r="AF90" s="146">
        <v>2043</v>
      </c>
      <c r="AG90" s="146">
        <v>2044</v>
      </c>
      <c r="AH90" s="146">
        <v>2045</v>
      </c>
      <c r="AI90" s="146">
        <v>2046</v>
      </c>
      <c r="AJ90" s="146">
        <v>2047</v>
      </c>
      <c r="AK90" s="146">
        <v>2048</v>
      </c>
      <c r="AL90" s="146">
        <v>2049</v>
      </c>
      <c r="AM90" s="146">
        <v>2050</v>
      </c>
      <c r="AN90" s="146">
        <v>2051</v>
      </c>
      <c r="AO90" s="146">
        <v>2052</v>
      </c>
      <c r="AP90" s="146">
        <v>2053</v>
      </c>
      <c r="AQ90" s="146">
        <v>2054</v>
      </c>
      <c r="AR90" s="146">
        <v>2055</v>
      </c>
    </row>
    <row r="91" spans="1:44" ht="75" x14ac:dyDescent="0.2">
      <c r="A91" s="184"/>
      <c r="B91" s="185"/>
      <c r="C91" s="185"/>
      <c r="D91" s="186"/>
      <c r="E91" s="185"/>
      <c r="F91" s="185"/>
      <c r="G91" s="187"/>
      <c r="H91" s="187"/>
      <c r="I91" s="187"/>
      <c r="J91" s="187"/>
      <c r="K91" s="188" t="s">
        <v>237</v>
      </c>
      <c r="L91" s="188" t="s">
        <v>237</v>
      </c>
      <c r="M91" s="188" t="s">
        <v>237</v>
      </c>
      <c r="N91" s="188" t="s">
        <v>238</v>
      </c>
      <c r="O91" s="185"/>
      <c r="P91" s="185"/>
      <c r="Q91" s="185"/>
      <c r="R91" s="185"/>
      <c r="S91" s="185"/>
      <c r="T91" s="185"/>
      <c r="U91" s="185"/>
      <c r="V91" s="185"/>
      <c r="W91" s="185"/>
      <c r="X91" s="185"/>
      <c r="Y91" s="185"/>
      <c r="Z91" s="185"/>
      <c r="AA91" s="185"/>
      <c r="AB91" s="185"/>
      <c r="AC91" s="185"/>
      <c r="AD91" s="185"/>
      <c r="AE91" s="185"/>
      <c r="AF91" s="185"/>
      <c r="AG91" s="185"/>
      <c r="AH91" s="185"/>
      <c r="AI91" s="185"/>
      <c r="AJ91" s="185"/>
      <c r="AK91" s="185"/>
      <c r="AL91" s="185"/>
      <c r="AM91" s="185"/>
      <c r="AN91" s="185"/>
      <c r="AO91" s="185"/>
      <c r="AP91" s="185"/>
      <c r="AQ91" s="185"/>
      <c r="AR91" s="185"/>
    </row>
    <row r="92" spans="1:44" x14ac:dyDescent="0.2">
      <c r="B92" s="150"/>
      <c r="C92" s="150"/>
      <c r="D92" s="151"/>
      <c r="E92" s="150"/>
      <c r="F92" s="150"/>
      <c r="G92" s="150" t="s">
        <v>243</v>
      </c>
      <c r="H92" s="150" t="s">
        <v>243</v>
      </c>
      <c r="I92" s="150" t="s">
        <v>243</v>
      </c>
      <c r="J92" s="150" t="s">
        <v>243</v>
      </c>
      <c r="K92" s="150" t="s">
        <v>243</v>
      </c>
      <c r="L92" s="150" t="s">
        <v>244</v>
      </c>
      <c r="M92" s="150" t="s">
        <v>245</v>
      </c>
      <c r="N92" s="150"/>
      <c r="O92" s="150"/>
      <c r="P92" s="150"/>
      <c r="Q92" s="150"/>
      <c r="R92" s="150"/>
      <c r="S92" s="150"/>
      <c r="T92" s="150"/>
      <c r="U92" s="150"/>
      <c r="V92" s="150"/>
      <c r="W92" s="150"/>
      <c r="X92" s="150"/>
      <c r="Y92" s="150"/>
      <c r="Z92" s="150"/>
      <c r="AA92" s="150"/>
      <c r="AB92" s="150"/>
      <c r="AC92" s="150"/>
      <c r="AD92" s="150"/>
      <c r="AE92" s="150"/>
      <c r="AF92" s="150"/>
      <c r="AG92" s="150"/>
      <c r="AH92" s="150"/>
      <c r="AI92" s="150"/>
      <c r="AJ92" s="150"/>
      <c r="AK92" s="150"/>
      <c r="AL92" s="150"/>
      <c r="AM92" s="150"/>
      <c r="AN92" s="150"/>
      <c r="AO92" s="150"/>
      <c r="AP92" s="150"/>
      <c r="AQ92" s="150"/>
      <c r="AR92" s="150"/>
    </row>
    <row r="93" spans="1:44" x14ac:dyDescent="0.2">
      <c r="B93" s="154">
        <v>1</v>
      </c>
      <c r="C93" s="137" t="s">
        <v>220</v>
      </c>
      <c r="D93" s="155" t="s">
        <v>221</v>
      </c>
      <c r="F93" s="204"/>
      <c r="G93" s="156">
        <v>0</v>
      </c>
      <c r="H93" s="156">
        <v>0</v>
      </c>
      <c r="I93" s="156">
        <v>0</v>
      </c>
      <c r="J93" s="156">
        <v>0</v>
      </c>
      <c r="K93" s="156">
        <v>46.767441860465112</v>
      </c>
      <c r="L93" s="156">
        <v>49</v>
      </c>
      <c r="M93" s="156">
        <v>49.24499999999999</v>
      </c>
      <c r="N93" s="156">
        <v>49.491225</v>
      </c>
      <c r="O93" s="156">
        <v>49.738681124999999</v>
      </c>
      <c r="P93" s="156">
        <v>49.987374530625004</v>
      </c>
      <c r="Q93" s="156">
        <v>50.237311403278134</v>
      </c>
      <c r="R93" s="156">
        <v>50.488497960294524</v>
      </c>
      <c r="S93" s="156">
        <v>50.740940450095984</v>
      </c>
      <c r="T93" s="156">
        <v>50.994645152346465</v>
      </c>
      <c r="U93" s="156">
        <v>51.249618378108202</v>
      </c>
      <c r="V93" s="156">
        <v>51.505866469998736</v>
      </c>
      <c r="W93" s="156">
        <v>51.763395802348732</v>
      </c>
      <c r="X93" s="156">
        <v>52.022212781360473</v>
      </c>
      <c r="Y93" s="156">
        <v>52.282323845267271</v>
      </c>
      <c r="Z93" s="156">
        <v>52.543735464493608</v>
      </c>
      <c r="AA93" s="156">
        <v>52.806454141816083</v>
      </c>
      <c r="AB93" s="156">
        <v>53.070486412525156</v>
      </c>
      <c r="AC93" s="156">
        <v>53.335838844587784</v>
      </c>
      <c r="AD93" s="156">
        <v>53.602518038810722</v>
      </c>
      <c r="AE93" s="156">
        <v>53.870530629004776</v>
      </c>
      <c r="AF93" s="156">
        <v>54.13988328214981</v>
      </c>
      <c r="AG93" s="156">
        <v>54.410582698560546</v>
      </c>
      <c r="AH93" s="156">
        <v>54.682635612053353</v>
      </c>
      <c r="AI93" s="156">
        <v>54.956048790113613</v>
      </c>
      <c r="AJ93" s="156">
        <v>55.230829034064186</v>
      </c>
      <c r="AK93" s="156">
        <v>55.506983179234517</v>
      </c>
      <c r="AL93" s="156">
        <v>55.784518095130679</v>
      </c>
      <c r="AM93" s="156">
        <v>56.063440685606338</v>
      </c>
      <c r="AN93" s="156">
        <v>56.343757889034364</v>
      </c>
      <c r="AO93" s="156">
        <v>56.625476678479544</v>
      </c>
      <c r="AP93" s="156">
        <v>56.908604061871934</v>
      </c>
      <c r="AQ93" s="156">
        <v>57.193147082181298</v>
      </c>
      <c r="AR93" s="156">
        <v>57.47911281759221</v>
      </c>
    </row>
    <row r="94" spans="1:44" x14ac:dyDescent="0.2">
      <c r="B94" s="154">
        <v>2</v>
      </c>
      <c r="C94" s="137" t="s">
        <v>222</v>
      </c>
      <c r="D94" s="155" t="s">
        <v>223</v>
      </c>
      <c r="F94" s="204"/>
      <c r="G94" s="156">
        <v>0</v>
      </c>
      <c r="H94" s="156">
        <v>0</v>
      </c>
      <c r="I94" s="156">
        <v>0</v>
      </c>
      <c r="J94" s="156">
        <v>0</v>
      </c>
      <c r="K94" s="156">
        <v>0</v>
      </c>
      <c r="L94" s="156">
        <v>0</v>
      </c>
      <c r="M94" s="156">
        <v>0</v>
      </c>
      <c r="N94" s="156">
        <v>4</v>
      </c>
      <c r="O94" s="156">
        <v>4</v>
      </c>
      <c r="P94" s="156">
        <v>4</v>
      </c>
      <c r="Q94" s="156">
        <v>4</v>
      </c>
      <c r="R94" s="156">
        <v>4</v>
      </c>
      <c r="S94" s="156">
        <v>4</v>
      </c>
      <c r="T94" s="156">
        <v>4</v>
      </c>
      <c r="U94" s="156">
        <v>4</v>
      </c>
      <c r="V94" s="156">
        <v>4</v>
      </c>
      <c r="W94" s="156">
        <v>4</v>
      </c>
      <c r="X94" s="156">
        <v>4</v>
      </c>
      <c r="Y94" s="156">
        <v>4</v>
      </c>
      <c r="Z94" s="156">
        <v>4</v>
      </c>
      <c r="AA94" s="156">
        <v>4</v>
      </c>
      <c r="AB94" s="156">
        <v>4</v>
      </c>
      <c r="AC94" s="156">
        <v>4</v>
      </c>
      <c r="AD94" s="156">
        <v>4</v>
      </c>
      <c r="AE94" s="156">
        <v>4</v>
      </c>
      <c r="AF94" s="156">
        <v>4</v>
      </c>
      <c r="AG94" s="156">
        <v>4</v>
      </c>
      <c r="AH94" s="156">
        <v>4</v>
      </c>
      <c r="AI94" s="156">
        <v>4</v>
      </c>
      <c r="AJ94" s="156">
        <v>4</v>
      </c>
      <c r="AK94" s="156">
        <v>4</v>
      </c>
      <c r="AL94" s="156">
        <v>4</v>
      </c>
      <c r="AM94" s="156">
        <v>4</v>
      </c>
      <c r="AN94" s="156">
        <v>4</v>
      </c>
      <c r="AO94" s="156">
        <v>4</v>
      </c>
      <c r="AP94" s="156">
        <v>4</v>
      </c>
      <c r="AQ94" s="156">
        <v>4</v>
      </c>
      <c r="AR94" s="156">
        <v>4</v>
      </c>
    </row>
    <row r="95" spans="1:44" x14ac:dyDescent="0.2">
      <c r="B95" s="154">
        <v>3</v>
      </c>
      <c r="C95" s="137" t="s">
        <v>224</v>
      </c>
      <c r="D95" s="155" t="s">
        <v>225</v>
      </c>
      <c r="F95" s="204"/>
      <c r="G95" s="156">
        <v>0</v>
      </c>
      <c r="H95" s="156">
        <v>0</v>
      </c>
      <c r="I95" s="156">
        <v>0</v>
      </c>
      <c r="J95" s="156">
        <v>0</v>
      </c>
      <c r="K95" s="156">
        <v>0</v>
      </c>
      <c r="L95" s="156">
        <v>0</v>
      </c>
      <c r="M95" s="156">
        <v>0</v>
      </c>
      <c r="N95" s="156">
        <v>0</v>
      </c>
      <c r="O95" s="156">
        <v>0</v>
      </c>
      <c r="P95" s="156">
        <v>0</v>
      </c>
      <c r="Q95" s="156">
        <v>0</v>
      </c>
      <c r="R95" s="156">
        <v>0</v>
      </c>
      <c r="S95" s="156">
        <v>0</v>
      </c>
      <c r="T95" s="156">
        <v>0</v>
      </c>
      <c r="U95" s="156">
        <v>0</v>
      </c>
      <c r="V95" s="156">
        <v>0</v>
      </c>
      <c r="W95" s="156">
        <v>0</v>
      </c>
      <c r="X95" s="156">
        <v>0</v>
      </c>
      <c r="Y95" s="156">
        <v>0</v>
      </c>
      <c r="Z95" s="156">
        <v>0</v>
      </c>
      <c r="AA95" s="156">
        <v>0</v>
      </c>
      <c r="AB95" s="156">
        <v>0</v>
      </c>
      <c r="AC95" s="156">
        <v>0</v>
      </c>
      <c r="AD95" s="156">
        <v>0</v>
      </c>
      <c r="AE95" s="156">
        <v>0</v>
      </c>
      <c r="AF95" s="156">
        <v>0</v>
      </c>
      <c r="AG95" s="156">
        <v>0</v>
      </c>
      <c r="AH95" s="156">
        <v>0</v>
      </c>
      <c r="AI95" s="156">
        <v>0</v>
      </c>
      <c r="AJ95" s="156">
        <v>0</v>
      </c>
      <c r="AK95" s="156">
        <v>0</v>
      </c>
      <c r="AL95" s="156">
        <v>0</v>
      </c>
      <c r="AM95" s="156">
        <v>0</v>
      </c>
      <c r="AN95" s="156">
        <v>0</v>
      </c>
      <c r="AO95" s="156">
        <v>0</v>
      </c>
      <c r="AP95" s="156">
        <v>0</v>
      </c>
      <c r="AQ95" s="156">
        <v>0</v>
      </c>
      <c r="AR95" s="156">
        <v>0</v>
      </c>
    </row>
    <row r="96" spans="1:44" x14ac:dyDescent="0.2">
      <c r="B96" s="154">
        <v>4</v>
      </c>
      <c r="C96" s="137" t="s">
        <v>226</v>
      </c>
      <c r="D96" s="155" t="s">
        <v>227</v>
      </c>
      <c r="F96" s="204"/>
      <c r="G96" s="156">
        <v>0</v>
      </c>
      <c r="H96" s="156">
        <v>0</v>
      </c>
      <c r="I96" s="156">
        <v>0</v>
      </c>
      <c r="J96" s="156">
        <v>0</v>
      </c>
      <c r="K96" s="156">
        <v>42</v>
      </c>
      <c r="L96" s="156">
        <v>42</v>
      </c>
      <c r="M96" s="156">
        <v>42</v>
      </c>
      <c r="N96" s="156">
        <v>42.33</v>
      </c>
      <c r="O96" s="156">
        <v>42.663300000000007</v>
      </c>
      <c r="P96" s="156">
        <v>42.999932999999999</v>
      </c>
      <c r="Q96" s="156">
        <v>43.339932329999996</v>
      </c>
      <c r="R96" s="156">
        <v>43.683331653300002</v>
      </c>
      <c r="S96" s="156">
        <v>44.030164969833002</v>
      </c>
      <c r="T96" s="156">
        <v>44.380466619531326</v>
      </c>
      <c r="U96" s="156">
        <v>44.734271285726649</v>
      </c>
      <c r="V96" s="156">
        <v>45.09161399858391</v>
      </c>
      <c r="W96" s="156">
        <v>45.452530138569749</v>
      </c>
      <c r="X96" s="156">
        <v>45.817055439955439</v>
      </c>
      <c r="Y96" s="156">
        <v>46.185225994355001</v>
      </c>
      <c r="Z96" s="156">
        <v>46.557078254298553</v>
      </c>
      <c r="AA96" s="156">
        <v>46.932649036841539</v>
      </c>
      <c r="AB96" s="156">
        <v>47.311975527209938</v>
      </c>
      <c r="AC96" s="156">
        <v>47.69509528248205</v>
      </c>
      <c r="AD96" s="156">
        <v>48.082046235306869</v>
      </c>
      <c r="AE96" s="156">
        <v>48.472866697659931</v>
      </c>
      <c r="AF96" s="156">
        <v>48.867595364636529</v>
      </c>
      <c r="AG96" s="156">
        <v>49.266271318282904</v>
      </c>
      <c r="AH96" s="156">
        <v>49.668934031465724</v>
      </c>
      <c r="AI96" s="156">
        <v>50.075623371780388</v>
      </c>
      <c r="AJ96" s="156">
        <v>50.486379605498186</v>
      </c>
      <c r="AK96" s="156">
        <v>50.90124340155316</v>
      </c>
      <c r="AL96" s="156">
        <v>51.320255835568702</v>
      </c>
      <c r="AM96" s="156">
        <v>51.743458393924385</v>
      </c>
      <c r="AN96" s="156">
        <v>52.17089297786363</v>
      </c>
      <c r="AO96" s="156">
        <v>52.602601907642267</v>
      </c>
      <c r="AP96" s="156">
        <v>53.038627926718689</v>
      </c>
      <c r="AQ96" s="156">
        <v>53.479014205985884</v>
      </c>
      <c r="AR96" s="156">
        <v>53.923804348045735</v>
      </c>
    </row>
    <row r="97" spans="1:44" x14ac:dyDescent="0.2">
      <c r="B97" s="154">
        <v>5</v>
      </c>
      <c r="C97" s="137" t="s">
        <v>228</v>
      </c>
      <c r="D97" s="155" t="s">
        <v>221</v>
      </c>
      <c r="F97" s="204"/>
      <c r="G97" s="156">
        <v>0</v>
      </c>
      <c r="H97" s="156">
        <v>0</v>
      </c>
      <c r="I97" s="156">
        <v>0</v>
      </c>
      <c r="J97" s="156">
        <v>0</v>
      </c>
      <c r="K97" s="156">
        <v>16</v>
      </c>
      <c r="L97" s="156">
        <v>16</v>
      </c>
      <c r="M97" s="156">
        <v>16</v>
      </c>
      <c r="N97" s="156">
        <v>16</v>
      </c>
      <c r="O97" s="156">
        <v>16</v>
      </c>
      <c r="P97" s="156">
        <v>16</v>
      </c>
      <c r="Q97" s="156">
        <v>16</v>
      </c>
      <c r="R97" s="156">
        <v>16</v>
      </c>
      <c r="S97" s="156">
        <v>16</v>
      </c>
      <c r="T97" s="156">
        <v>16</v>
      </c>
      <c r="U97" s="156">
        <v>16</v>
      </c>
      <c r="V97" s="156">
        <v>16</v>
      </c>
      <c r="W97" s="156">
        <v>16</v>
      </c>
      <c r="X97" s="156">
        <v>16</v>
      </c>
      <c r="Y97" s="156">
        <v>16</v>
      </c>
      <c r="Z97" s="156">
        <v>16</v>
      </c>
      <c r="AA97" s="156">
        <v>16</v>
      </c>
      <c r="AB97" s="156">
        <v>16</v>
      </c>
      <c r="AC97" s="156">
        <v>16</v>
      </c>
      <c r="AD97" s="156">
        <v>16</v>
      </c>
      <c r="AE97" s="156">
        <v>16</v>
      </c>
      <c r="AF97" s="156">
        <v>16</v>
      </c>
      <c r="AG97" s="156">
        <v>16</v>
      </c>
      <c r="AH97" s="156">
        <v>16</v>
      </c>
      <c r="AI97" s="156">
        <v>16</v>
      </c>
      <c r="AJ97" s="156">
        <v>16</v>
      </c>
      <c r="AK97" s="156">
        <v>16</v>
      </c>
      <c r="AL97" s="156">
        <v>16</v>
      </c>
      <c r="AM97" s="156">
        <v>16</v>
      </c>
      <c r="AN97" s="156">
        <v>16</v>
      </c>
      <c r="AO97" s="156">
        <v>16</v>
      </c>
      <c r="AP97" s="156">
        <v>16</v>
      </c>
      <c r="AQ97" s="156">
        <v>16</v>
      </c>
      <c r="AR97" s="156">
        <v>16</v>
      </c>
    </row>
    <row r="98" spans="1:44" x14ac:dyDescent="0.2">
      <c r="B98" s="154">
        <v>6</v>
      </c>
      <c r="C98" s="137" t="s">
        <v>229</v>
      </c>
      <c r="D98" s="155" t="s">
        <v>230</v>
      </c>
      <c r="F98" s="204"/>
      <c r="G98" s="156">
        <v>0</v>
      </c>
      <c r="H98" s="156">
        <v>0</v>
      </c>
      <c r="I98" s="156">
        <v>0</v>
      </c>
      <c r="J98" s="156">
        <v>0</v>
      </c>
      <c r="K98" s="156">
        <v>0</v>
      </c>
      <c r="L98" s="156">
        <v>0</v>
      </c>
      <c r="M98" s="156">
        <v>0</v>
      </c>
      <c r="N98" s="156">
        <v>0</v>
      </c>
      <c r="O98" s="156">
        <v>0</v>
      </c>
      <c r="P98" s="156">
        <v>0</v>
      </c>
      <c r="Q98" s="156">
        <v>0</v>
      </c>
      <c r="R98" s="156">
        <v>0</v>
      </c>
      <c r="S98" s="156">
        <v>0</v>
      </c>
      <c r="T98" s="156">
        <v>0</v>
      </c>
      <c r="U98" s="156">
        <v>0</v>
      </c>
      <c r="V98" s="156">
        <v>0</v>
      </c>
      <c r="W98" s="156">
        <v>0</v>
      </c>
      <c r="X98" s="156">
        <v>0</v>
      </c>
      <c r="Y98" s="156">
        <v>0</v>
      </c>
      <c r="Z98" s="156">
        <v>0</v>
      </c>
      <c r="AA98" s="156">
        <v>0</v>
      </c>
      <c r="AB98" s="156">
        <v>0</v>
      </c>
      <c r="AC98" s="156">
        <v>0</v>
      </c>
      <c r="AD98" s="156">
        <v>0</v>
      </c>
      <c r="AE98" s="156">
        <v>0</v>
      </c>
      <c r="AF98" s="156">
        <v>0</v>
      </c>
      <c r="AG98" s="156">
        <v>0</v>
      </c>
      <c r="AH98" s="156">
        <v>0</v>
      </c>
      <c r="AI98" s="156">
        <v>0</v>
      </c>
      <c r="AJ98" s="156">
        <v>0</v>
      </c>
      <c r="AK98" s="156">
        <v>0</v>
      </c>
      <c r="AL98" s="156">
        <v>0</v>
      </c>
      <c r="AM98" s="156">
        <v>0</v>
      </c>
      <c r="AN98" s="156">
        <v>0</v>
      </c>
      <c r="AO98" s="156">
        <v>0</v>
      </c>
      <c r="AP98" s="156">
        <v>0</v>
      </c>
      <c r="AQ98" s="156">
        <v>0</v>
      </c>
      <c r="AR98" s="156">
        <v>0</v>
      </c>
    </row>
    <row r="99" spans="1:44" x14ac:dyDescent="0.2">
      <c r="B99" s="154">
        <v>7</v>
      </c>
      <c r="C99" s="137" t="s">
        <v>231</v>
      </c>
      <c r="D99" s="155" t="s">
        <v>225</v>
      </c>
      <c r="F99" s="204"/>
      <c r="G99" s="156">
        <v>0</v>
      </c>
      <c r="H99" s="156">
        <v>0</v>
      </c>
      <c r="I99" s="156">
        <v>0</v>
      </c>
      <c r="J99" s="156">
        <v>0</v>
      </c>
      <c r="K99" s="156">
        <v>47</v>
      </c>
      <c r="L99" s="156">
        <v>47</v>
      </c>
      <c r="M99" s="156">
        <v>47</v>
      </c>
      <c r="N99" s="156">
        <v>47.47</v>
      </c>
      <c r="O99" s="156">
        <v>47.944699999999997</v>
      </c>
      <c r="P99" s="156">
        <v>48.424146999999998</v>
      </c>
      <c r="Q99" s="156">
        <v>48.908388469999991</v>
      </c>
      <c r="R99" s="156">
        <v>49.3974723547</v>
      </c>
      <c r="S99" s="156">
        <v>49.891447078246998</v>
      </c>
      <c r="T99" s="156">
        <v>50.390361549029464</v>
      </c>
      <c r="U99" s="156">
        <v>50.894265164519759</v>
      </c>
      <c r="V99" s="156">
        <v>51.403207816164965</v>
      </c>
      <c r="W99" s="156">
        <v>51.917239894326613</v>
      </c>
      <c r="X99" s="156">
        <v>52.436412293269868</v>
      </c>
      <c r="Y99" s="156">
        <v>52.960776416202577</v>
      </c>
      <c r="Z99" s="156">
        <v>53.4903841803646</v>
      </c>
      <c r="AA99" s="156">
        <v>54.025288022168255</v>
      </c>
      <c r="AB99" s="156">
        <v>54.565540902389927</v>
      </c>
      <c r="AC99" s="156">
        <v>55.111196311413828</v>
      </c>
      <c r="AD99" s="156">
        <v>55.662308274527952</v>
      </c>
      <c r="AE99" s="156">
        <v>56.218931357273249</v>
      </c>
      <c r="AF99" s="156">
        <v>56.781120670845972</v>
      </c>
      <c r="AG99" s="156">
        <v>57.348931877554421</v>
      </c>
      <c r="AH99" s="156">
        <v>57.922421196329978</v>
      </c>
      <c r="AI99" s="156">
        <v>58.501645408293278</v>
      </c>
      <c r="AJ99" s="156">
        <v>59.086661862376225</v>
      </c>
      <c r="AK99" s="156">
        <v>59.677528480999975</v>
      </c>
      <c r="AL99" s="156">
        <v>60.274303765809975</v>
      </c>
      <c r="AM99" s="156">
        <v>60.877046803468062</v>
      </c>
      <c r="AN99" s="156">
        <v>61.485817271502754</v>
      </c>
      <c r="AO99" s="156">
        <v>62.100675444217771</v>
      </c>
      <c r="AP99" s="156">
        <v>62.721682198659956</v>
      </c>
      <c r="AQ99" s="156">
        <v>63.348899020646563</v>
      </c>
      <c r="AR99" s="156">
        <v>63.982388010853022</v>
      </c>
    </row>
    <row r="100" spans="1:44" x14ac:dyDescent="0.2">
      <c r="B100" s="154">
        <v>8</v>
      </c>
      <c r="C100" s="137" t="s">
        <v>232</v>
      </c>
      <c r="D100" s="155" t="s">
        <v>233</v>
      </c>
      <c r="F100" s="204"/>
      <c r="G100" s="156">
        <v>0</v>
      </c>
      <c r="H100" s="156">
        <v>0</v>
      </c>
      <c r="I100" s="156">
        <v>0</v>
      </c>
      <c r="J100" s="156">
        <v>0</v>
      </c>
      <c r="K100" s="156">
        <v>11</v>
      </c>
      <c r="L100" s="156">
        <v>13</v>
      </c>
      <c r="M100" s="156">
        <v>13</v>
      </c>
      <c r="N100" s="156">
        <v>262.12999999999994</v>
      </c>
      <c r="O100" s="156">
        <v>262.26130000000006</v>
      </c>
      <c r="P100" s="156">
        <v>262.39391300000005</v>
      </c>
      <c r="Q100" s="156">
        <v>262.52785213000004</v>
      </c>
      <c r="R100" s="156">
        <v>262.66313065129998</v>
      </c>
      <c r="S100" s="156">
        <v>262.79976195781302</v>
      </c>
      <c r="T100" s="156">
        <v>262.93775957739115</v>
      </c>
      <c r="U100" s="156">
        <v>263.077137173165</v>
      </c>
      <c r="V100" s="156">
        <v>263.21790854489666</v>
      </c>
      <c r="W100" s="156">
        <v>263.36008763034562</v>
      </c>
      <c r="X100" s="156">
        <v>263.50368850664904</v>
      </c>
      <c r="Y100" s="156">
        <v>263.64872539171563</v>
      </c>
      <c r="Z100" s="156">
        <v>263.79521264563272</v>
      </c>
      <c r="AA100" s="156">
        <v>263.94316477208906</v>
      </c>
      <c r="AB100" s="156">
        <v>264.09259641980998</v>
      </c>
      <c r="AC100" s="156">
        <v>264.24352238400809</v>
      </c>
      <c r="AD100" s="156">
        <v>264.39595760784817</v>
      </c>
      <c r="AE100" s="156">
        <v>264.54991718392665</v>
      </c>
      <c r="AF100" s="156">
        <v>264.70541635576592</v>
      </c>
      <c r="AG100" s="156">
        <v>264.86247051932355</v>
      </c>
      <c r="AH100" s="156">
        <v>265.02109522451678</v>
      </c>
      <c r="AI100" s="156">
        <v>265.18130617676201</v>
      </c>
      <c r="AJ100" s="156">
        <v>265.34311923852954</v>
      </c>
      <c r="AK100" s="156">
        <v>265.50655043091484</v>
      </c>
      <c r="AL100" s="156">
        <v>265.671615935224</v>
      </c>
      <c r="AM100" s="156">
        <v>265.83833209457629</v>
      </c>
      <c r="AN100" s="156">
        <v>266.00671541552202</v>
      </c>
      <c r="AO100" s="156">
        <v>266.1767825696773</v>
      </c>
      <c r="AP100" s="156">
        <v>266.34855039537399</v>
      </c>
      <c r="AQ100" s="156">
        <v>266.52203589932782</v>
      </c>
      <c r="AR100" s="156">
        <v>266.69725625832109</v>
      </c>
    </row>
    <row r="101" spans="1:44" x14ac:dyDescent="0.2">
      <c r="B101" s="157"/>
      <c r="C101" s="158" t="s">
        <v>84</v>
      </c>
      <c r="D101" s="159"/>
      <c r="E101" s="193"/>
      <c r="F101" s="203"/>
      <c r="G101" s="170">
        <v>0</v>
      </c>
      <c r="H101" s="170">
        <v>0</v>
      </c>
      <c r="I101" s="170">
        <v>0</v>
      </c>
      <c r="J101" s="170">
        <v>0</v>
      </c>
      <c r="K101" s="170">
        <v>162.76744186046511</v>
      </c>
      <c r="L101" s="170">
        <v>167</v>
      </c>
      <c r="M101" s="170">
        <v>167.245</v>
      </c>
      <c r="N101" s="160">
        <v>421.42122499999994</v>
      </c>
      <c r="O101" s="160">
        <v>422.60798112500004</v>
      </c>
      <c r="P101" s="160">
        <v>423.80536753062506</v>
      </c>
      <c r="Q101" s="160">
        <v>425.01348433327814</v>
      </c>
      <c r="R101" s="160">
        <v>426.23243261959453</v>
      </c>
      <c r="S101" s="160">
        <v>427.46231445598903</v>
      </c>
      <c r="T101" s="160">
        <v>428.70323289829838</v>
      </c>
      <c r="U101" s="160">
        <v>429.95529200151964</v>
      </c>
      <c r="V101" s="160">
        <v>431.2185968296443</v>
      </c>
      <c r="W101" s="160">
        <v>432.49325346559073</v>
      </c>
      <c r="X101" s="160">
        <v>433.7793690212348</v>
      </c>
      <c r="Y101" s="160">
        <v>435.07705164754049</v>
      </c>
      <c r="Z101" s="160">
        <v>436.38641054478944</v>
      </c>
      <c r="AA101" s="160">
        <v>437.70755597291492</v>
      </c>
      <c r="AB101" s="160">
        <v>439.04059926193497</v>
      </c>
      <c r="AC101" s="160">
        <v>440.38565282249175</v>
      </c>
      <c r="AD101" s="160">
        <v>441.74283015649371</v>
      </c>
      <c r="AE101" s="160">
        <v>443.1122458678646</v>
      </c>
      <c r="AF101" s="160">
        <v>444.49401567339822</v>
      </c>
      <c r="AG101" s="160">
        <v>445.88825641372142</v>
      </c>
      <c r="AH101" s="160">
        <v>447.29508606436582</v>
      </c>
      <c r="AI101" s="160">
        <v>448.71462374694931</v>
      </c>
      <c r="AJ101" s="160">
        <v>450.14698974046814</v>
      </c>
      <c r="AK101" s="160">
        <v>451.59230549270251</v>
      </c>
      <c r="AL101" s="160">
        <v>453.05069363173334</v>
      </c>
      <c r="AM101" s="160">
        <v>454.52227797757507</v>
      </c>
      <c r="AN101" s="160">
        <v>456.0071835539228</v>
      </c>
      <c r="AO101" s="160">
        <v>457.50553660001685</v>
      </c>
      <c r="AP101" s="160">
        <v>459.0174645826246</v>
      </c>
      <c r="AQ101" s="160">
        <v>460.54309620814161</v>
      </c>
      <c r="AR101" s="160">
        <v>462.08256143481208</v>
      </c>
    </row>
    <row r="102" spans="1:44" x14ac:dyDescent="0.2">
      <c r="B102" s="154"/>
      <c r="D102" s="155"/>
      <c r="G102" s="154"/>
      <c r="H102" s="154"/>
      <c r="I102" s="154"/>
      <c r="J102" s="154"/>
      <c r="K102" s="154"/>
      <c r="L102" s="206"/>
      <c r="W102" s="172"/>
    </row>
    <row r="103" spans="1:44" x14ac:dyDescent="0.2">
      <c r="B103" s="139"/>
      <c r="C103" s="140" t="s">
        <v>246</v>
      </c>
      <c r="D103" s="141"/>
      <c r="E103" s="140"/>
      <c r="F103" s="140"/>
      <c r="G103" s="142"/>
      <c r="H103" s="142"/>
      <c r="I103" s="139"/>
      <c r="J103" s="139"/>
      <c r="K103" s="139"/>
      <c r="L103" s="143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0"/>
      <c r="X103" s="144"/>
      <c r="Y103" s="144"/>
      <c r="Z103" s="144"/>
      <c r="AA103" s="144"/>
      <c r="AB103" s="144"/>
      <c r="AC103" s="144"/>
      <c r="AD103" s="144"/>
      <c r="AE103" s="144"/>
      <c r="AF103" s="144"/>
      <c r="AG103" s="144"/>
      <c r="AH103" s="144"/>
      <c r="AI103" s="144"/>
      <c r="AJ103" s="144"/>
      <c r="AK103" s="144"/>
      <c r="AL103" s="144"/>
      <c r="AM103" s="144"/>
      <c r="AN103" s="144"/>
      <c r="AO103" s="144"/>
      <c r="AP103" s="144"/>
      <c r="AQ103" s="144"/>
      <c r="AR103" s="144"/>
    </row>
    <row r="104" spans="1:44" x14ac:dyDescent="0.2">
      <c r="A104" s="145"/>
      <c r="B104" s="146"/>
      <c r="C104" s="146" t="s">
        <v>218</v>
      </c>
      <c r="D104" s="147" t="s">
        <v>219</v>
      </c>
      <c r="E104" s="146"/>
      <c r="F104" s="146"/>
      <c r="G104" s="148">
        <v>2019</v>
      </c>
      <c r="H104" s="148">
        <v>2020</v>
      </c>
      <c r="I104" s="148">
        <v>2021</v>
      </c>
      <c r="J104" s="148">
        <v>2022</v>
      </c>
      <c r="K104" s="148">
        <v>2023</v>
      </c>
      <c r="L104" s="149">
        <v>45352</v>
      </c>
      <c r="M104" s="148">
        <v>2024</v>
      </c>
      <c r="N104" s="146">
        <v>2025</v>
      </c>
      <c r="O104" s="146">
        <v>2026</v>
      </c>
      <c r="P104" s="146">
        <v>2027</v>
      </c>
      <c r="Q104" s="146">
        <v>2028</v>
      </c>
      <c r="R104" s="146">
        <v>2029</v>
      </c>
      <c r="S104" s="146">
        <v>2030</v>
      </c>
      <c r="T104" s="146">
        <v>2031</v>
      </c>
      <c r="U104" s="146">
        <v>2032</v>
      </c>
      <c r="V104" s="146">
        <v>2033</v>
      </c>
      <c r="W104" s="146">
        <v>2034</v>
      </c>
      <c r="X104" s="146">
        <v>2035</v>
      </c>
      <c r="Y104" s="146">
        <v>2036</v>
      </c>
      <c r="Z104" s="146">
        <v>2037</v>
      </c>
      <c r="AA104" s="146">
        <v>2038</v>
      </c>
      <c r="AB104" s="146">
        <v>2039</v>
      </c>
      <c r="AC104" s="146">
        <v>2040</v>
      </c>
      <c r="AD104" s="146">
        <v>2041</v>
      </c>
      <c r="AE104" s="146">
        <v>2042</v>
      </c>
      <c r="AF104" s="146">
        <v>2043</v>
      </c>
      <c r="AG104" s="146">
        <v>2044</v>
      </c>
      <c r="AH104" s="146">
        <v>2045</v>
      </c>
      <c r="AI104" s="146">
        <v>2046</v>
      </c>
      <c r="AJ104" s="146">
        <v>2047</v>
      </c>
      <c r="AK104" s="146">
        <v>2048</v>
      </c>
      <c r="AL104" s="146">
        <v>2049</v>
      </c>
      <c r="AM104" s="146">
        <v>2050</v>
      </c>
      <c r="AN104" s="146">
        <v>2051</v>
      </c>
      <c r="AO104" s="146">
        <v>2052</v>
      </c>
      <c r="AP104" s="146">
        <v>2053</v>
      </c>
      <c r="AQ104" s="146">
        <v>2054</v>
      </c>
      <c r="AR104" s="146">
        <v>2055</v>
      </c>
    </row>
    <row r="105" spans="1:44" ht="75" x14ac:dyDescent="0.2">
      <c r="A105" s="184"/>
      <c r="B105" s="185"/>
      <c r="C105" s="185"/>
      <c r="D105" s="186"/>
      <c r="E105" s="185"/>
      <c r="F105" s="185"/>
      <c r="G105" s="187"/>
      <c r="H105" s="187"/>
      <c r="I105" s="187"/>
      <c r="J105" s="187"/>
      <c r="K105" s="188" t="s">
        <v>237</v>
      </c>
      <c r="L105" s="188" t="s">
        <v>237</v>
      </c>
      <c r="M105" s="188" t="s">
        <v>237</v>
      </c>
      <c r="N105" s="188" t="s">
        <v>238</v>
      </c>
      <c r="O105" s="185"/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  <c r="Z105" s="185"/>
      <c r="AA105" s="185"/>
      <c r="AB105" s="185"/>
      <c r="AC105" s="185"/>
      <c r="AD105" s="185"/>
      <c r="AE105" s="185"/>
      <c r="AF105" s="185"/>
      <c r="AG105" s="185"/>
      <c r="AH105" s="185"/>
      <c r="AI105" s="185"/>
      <c r="AJ105" s="185"/>
      <c r="AK105" s="185"/>
      <c r="AL105" s="185"/>
      <c r="AM105" s="185"/>
      <c r="AN105" s="185"/>
      <c r="AO105" s="185"/>
      <c r="AP105" s="185"/>
      <c r="AQ105" s="185"/>
      <c r="AR105" s="185"/>
    </row>
    <row r="106" spans="1:44" x14ac:dyDescent="0.2">
      <c r="B106" s="150"/>
      <c r="C106" s="150"/>
      <c r="D106" s="151"/>
      <c r="E106" s="150"/>
      <c r="F106" s="150"/>
      <c r="G106" s="150" t="s">
        <v>243</v>
      </c>
      <c r="H106" s="150" t="s">
        <v>243</v>
      </c>
      <c r="I106" s="150" t="s">
        <v>243</v>
      </c>
      <c r="J106" s="150" t="s">
        <v>243</v>
      </c>
      <c r="K106" s="150" t="s">
        <v>243</v>
      </c>
      <c r="L106" s="150" t="s">
        <v>244</v>
      </c>
      <c r="M106" s="150" t="s">
        <v>245</v>
      </c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  <c r="X106" s="150"/>
      <c r="Y106" s="150"/>
      <c r="Z106" s="150"/>
      <c r="AA106" s="150"/>
      <c r="AB106" s="150"/>
      <c r="AC106" s="150"/>
      <c r="AD106" s="150"/>
      <c r="AE106" s="150"/>
      <c r="AF106" s="150"/>
      <c r="AG106" s="150"/>
      <c r="AH106" s="150"/>
      <c r="AI106" s="150"/>
      <c r="AJ106" s="150"/>
      <c r="AK106" s="150"/>
      <c r="AL106" s="150"/>
      <c r="AM106" s="150"/>
      <c r="AN106" s="150"/>
      <c r="AO106" s="150"/>
      <c r="AP106" s="150"/>
      <c r="AQ106" s="150"/>
      <c r="AR106" s="150"/>
    </row>
    <row r="107" spans="1:44" x14ac:dyDescent="0.2">
      <c r="B107" s="154">
        <v>1</v>
      </c>
      <c r="C107" s="137" t="s">
        <v>220</v>
      </c>
      <c r="D107" s="155" t="s">
        <v>221</v>
      </c>
      <c r="G107" s="207">
        <v>0</v>
      </c>
      <c r="H107" s="207">
        <v>0</v>
      </c>
      <c r="I107" s="207">
        <v>0</v>
      </c>
      <c r="J107" s="207">
        <v>0</v>
      </c>
      <c r="K107" s="207">
        <v>2211.7674418604652</v>
      </c>
      <c r="L107" s="207">
        <v>2251</v>
      </c>
      <c r="M107" s="207">
        <v>2273.2650000000003</v>
      </c>
      <c r="N107" s="208">
        <v>3028.3639071705434</v>
      </c>
      <c r="O107" s="208">
        <v>3074.7302139392905</v>
      </c>
      <c r="P107" s="208">
        <v>3121.826939485778</v>
      </c>
      <c r="Q107" s="208">
        <v>3169.6656972592873</v>
      </c>
      <c r="R107" s="208">
        <v>3218.2582859018976</v>
      </c>
      <c r="S107" s="208">
        <v>3269.63592454741</v>
      </c>
      <c r="T107" s="208">
        <v>3318.072266557951</v>
      </c>
      <c r="U107" s="208">
        <v>3367.2347386918468</v>
      </c>
      <c r="V107" s="208">
        <v>3417.1343236661778</v>
      </c>
      <c r="W107" s="208">
        <v>3467.7821718439191</v>
      </c>
      <c r="X107" s="208">
        <v>3518.4464719319021</v>
      </c>
      <c r="Y107" s="208">
        <v>3565.1581258620145</v>
      </c>
      <c r="Z107" s="208">
        <v>3612.4939541068366</v>
      </c>
      <c r="AA107" s="208">
        <v>3660.4623213710852</v>
      </c>
      <c r="AB107" s="208">
        <v>3709.071704638568</v>
      </c>
      <c r="AC107" s="208">
        <v>3757.5301305842509</v>
      </c>
      <c r="AD107" s="208">
        <v>3802.7242068093074</v>
      </c>
      <c r="AE107" s="208">
        <v>3848.4652977241603</v>
      </c>
      <c r="AF107" s="208">
        <v>3894.7600454817475</v>
      </c>
      <c r="AG107" s="208">
        <v>3941.6151730336283</v>
      </c>
      <c r="AH107" s="208">
        <v>3989.0374851139682</v>
      </c>
      <c r="AI107" s="208">
        <v>4037.0338692355535</v>
      </c>
      <c r="AJ107" s="208">
        <v>4085.6112966979072</v>
      </c>
      <c r="AK107" s="208">
        <v>4134.7768236077181</v>
      </c>
      <c r="AL107" s="208">
        <v>4184.5375919116977</v>
      </c>
      <c r="AM107" s="208">
        <v>4234.9008304420267</v>
      </c>
      <c r="AN107" s="208">
        <v>4285.873855974548</v>
      </c>
      <c r="AO107" s="208">
        <v>4337.4640742998517</v>
      </c>
      <c r="AP107" s="208">
        <v>4389.6789813074138</v>
      </c>
      <c r="AQ107" s="208">
        <v>4442.5261640829613</v>
      </c>
      <c r="AR107" s="208">
        <v>4496.0133020192043</v>
      </c>
    </row>
    <row r="108" spans="1:44" x14ac:dyDescent="0.2">
      <c r="B108" s="154">
        <v>2</v>
      </c>
      <c r="C108" s="137" t="s">
        <v>222</v>
      </c>
      <c r="D108" s="155" t="s">
        <v>223</v>
      </c>
      <c r="G108" s="207">
        <v>0</v>
      </c>
      <c r="H108" s="207">
        <v>0</v>
      </c>
      <c r="I108" s="207">
        <v>0</v>
      </c>
      <c r="J108" s="207">
        <v>0</v>
      </c>
      <c r="K108" s="207">
        <v>3826</v>
      </c>
      <c r="L108" s="207">
        <v>3826</v>
      </c>
      <c r="M108" s="207">
        <v>3826</v>
      </c>
      <c r="N108" s="208">
        <v>5573.8228124999996</v>
      </c>
      <c r="O108" s="208">
        <v>5662.6174909101001</v>
      </c>
      <c r="P108" s="208">
        <v>5752.8293110057466</v>
      </c>
      <c r="Q108" s="208">
        <v>5844.4808978793726</v>
      </c>
      <c r="R108" s="208">
        <v>5937.5952378790726</v>
      </c>
      <c r="S108" s="208">
        <v>6032.1956843770095</v>
      </c>
      <c r="T108" s="208">
        <v>6120.9479262013228</v>
      </c>
      <c r="U108" s="208">
        <v>6211.0081233708152</v>
      </c>
      <c r="V108" s="208">
        <v>6302.3955577780007</v>
      </c>
      <c r="W108" s="208">
        <v>6395.129795601064</v>
      </c>
      <c r="X108" s="208">
        <v>6489.2306914954233</v>
      </c>
      <c r="Y108" s="208">
        <v>6575.5491528085659</v>
      </c>
      <c r="Z108" s="208">
        <v>6663.017463756396</v>
      </c>
      <c r="AA108" s="208">
        <v>6751.6509462628546</v>
      </c>
      <c r="AB108" s="208">
        <v>6841.465126442683</v>
      </c>
      <c r="AC108" s="208">
        <v>6932.4757373227449</v>
      </c>
      <c r="AD108" s="208">
        <v>7017.0813310423164</v>
      </c>
      <c r="AE108" s="208">
        <v>7102.7208014864764</v>
      </c>
      <c r="AF108" s="208">
        <v>7189.4067862572692</v>
      </c>
      <c r="AG108" s="208">
        <v>7277.1520774509499</v>
      </c>
      <c r="AH108" s="208">
        <v>7365.9696235467854</v>
      </c>
      <c r="AI108" s="208">
        <v>7455.8725313189134</v>
      </c>
      <c r="AJ108" s="208">
        <v>7546.8740677715778</v>
      </c>
      <c r="AK108" s="208">
        <v>7638.9876620980594</v>
      </c>
      <c r="AL108" s="208">
        <v>7732.2269076634839</v>
      </c>
      <c r="AM108" s="208">
        <v>7826.605564011963</v>
      </c>
      <c r="AN108" s="208">
        <v>7922.1375588982082</v>
      </c>
      <c r="AO108" s="208">
        <v>8018.8369903439925</v>
      </c>
      <c r="AP108" s="208">
        <v>8116.7181287197945</v>
      </c>
      <c r="AQ108" s="208">
        <v>8215.7954188518197</v>
      </c>
      <c r="AR108" s="208">
        <v>8316.0834821548651</v>
      </c>
    </row>
    <row r="109" spans="1:44" x14ac:dyDescent="0.2">
      <c r="B109" s="154">
        <v>3</v>
      </c>
      <c r="C109" s="137" t="s">
        <v>224</v>
      </c>
      <c r="D109" s="155" t="s">
        <v>225</v>
      </c>
      <c r="G109" s="207">
        <v>0</v>
      </c>
      <c r="H109" s="207">
        <v>0</v>
      </c>
      <c r="I109" s="207">
        <v>0</v>
      </c>
      <c r="J109" s="207">
        <v>0</v>
      </c>
      <c r="K109" s="207">
        <v>2771</v>
      </c>
      <c r="L109" s="207">
        <v>2771</v>
      </c>
      <c r="M109" s="207">
        <v>2771</v>
      </c>
      <c r="N109" s="208">
        <v>3101.0665019379849</v>
      </c>
      <c r="O109" s="208">
        <v>3143.8800511718973</v>
      </c>
      <c r="P109" s="208">
        <v>3187.3378141054654</v>
      </c>
      <c r="Q109" s="208">
        <v>3231.4498212342569</v>
      </c>
      <c r="R109" s="208">
        <v>3276.2262613473845</v>
      </c>
      <c r="S109" s="208">
        <v>3339.655264763443</v>
      </c>
      <c r="T109" s="208">
        <v>3401.4011070864135</v>
      </c>
      <c r="U109" s="208">
        <v>3464.5871463145522</v>
      </c>
      <c r="V109" s="208">
        <v>3529.2561049777441</v>
      </c>
      <c r="W109" s="208">
        <v>3595.4521979913834</v>
      </c>
      <c r="X109" s="208">
        <v>3644.4731442495004</v>
      </c>
      <c r="Y109" s="208">
        <v>3690.2173608351522</v>
      </c>
      <c r="Z109" s="208">
        <v>3736.542959785505</v>
      </c>
      <c r="AA109" s="208">
        <v>3783.4574067546741</v>
      </c>
      <c r="AB109" s="208">
        <v>3830.9682640683177</v>
      </c>
      <c r="AC109" s="208">
        <v>3879.0831919837619</v>
      </c>
      <c r="AD109" s="208">
        <v>3924.5204954971673</v>
      </c>
      <c r="AE109" s="208">
        <v>3970.4934316064059</v>
      </c>
      <c r="AF109" s="208">
        <v>4017.0083501143672</v>
      </c>
      <c r="AG109" s="208">
        <v>4064.0716764681883</v>
      </c>
      <c r="AH109" s="208">
        <v>4108.2383284561329</v>
      </c>
      <c r="AI109" s="208">
        <v>4152.9146959844693</v>
      </c>
      <c r="AJ109" s="208">
        <v>4198.1068328790825</v>
      </c>
      <c r="AK109" s="208">
        <v>4243.8208658238691</v>
      </c>
      <c r="AL109" s="208">
        <v>4290.06299524305</v>
      </c>
      <c r="AM109" s="208">
        <v>4336.8394961942167</v>
      </c>
      <c r="AN109" s="208">
        <v>4384.156719272205</v>
      </c>
      <c r="AO109" s="208">
        <v>4432.0210915239741</v>
      </c>
      <c r="AP109" s="208">
        <v>4480.439117374578</v>
      </c>
      <c r="AQ109" s="208">
        <v>4529.4173795644019</v>
      </c>
      <c r="AR109" s="208">
        <v>4578.9625400977757</v>
      </c>
    </row>
    <row r="110" spans="1:44" x14ac:dyDescent="0.2">
      <c r="B110" s="154">
        <v>4</v>
      </c>
      <c r="C110" s="137" t="s">
        <v>226</v>
      </c>
      <c r="D110" s="155" t="s">
        <v>227</v>
      </c>
      <c r="G110" s="207">
        <v>0</v>
      </c>
      <c r="H110" s="207">
        <v>0</v>
      </c>
      <c r="I110" s="207">
        <v>0</v>
      </c>
      <c r="J110" s="207">
        <v>0</v>
      </c>
      <c r="K110" s="207">
        <v>7091</v>
      </c>
      <c r="L110" s="207">
        <v>7091</v>
      </c>
      <c r="M110" s="207">
        <v>7091</v>
      </c>
      <c r="N110" s="208">
        <v>13093.883786231885</v>
      </c>
      <c r="O110" s="208">
        <v>13266.880468297235</v>
      </c>
      <c r="P110" s="208">
        <v>13442.625443601855</v>
      </c>
      <c r="Q110" s="208">
        <v>13621.162507896992</v>
      </c>
      <c r="R110" s="208">
        <v>13802.536155633465</v>
      </c>
      <c r="S110" s="208">
        <v>13987.359136540535</v>
      </c>
      <c r="T110" s="208">
        <v>14160.915906806275</v>
      </c>
      <c r="U110" s="208">
        <v>14337.033862340177</v>
      </c>
      <c r="V110" s="208">
        <v>14515.75110354865</v>
      </c>
      <c r="W110" s="208">
        <v>14697.1063042443</v>
      </c>
      <c r="X110" s="208">
        <v>14880.809750109114</v>
      </c>
      <c r="Y110" s="208">
        <v>15049.497720160958</v>
      </c>
      <c r="Z110" s="208">
        <v>15220.428798163875</v>
      </c>
      <c r="AA110" s="208">
        <v>15407.464756039552</v>
      </c>
      <c r="AB110" s="208">
        <v>15597.483802691111</v>
      </c>
      <c r="AC110" s="208">
        <v>15789.667151341457</v>
      </c>
      <c r="AD110" s="208">
        <v>15968.451392095129</v>
      </c>
      <c r="AE110" s="208">
        <v>16149.412330721794</v>
      </c>
      <c r="AF110" s="208">
        <v>16332.576525509983</v>
      </c>
      <c r="AG110" s="208">
        <v>16527.801464059768</v>
      </c>
      <c r="AH110" s="208">
        <v>16728.019373280458</v>
      </c>
      <c r="AI110" s="208">
        <v>16930.675809808825</v>
      </c>
      <c r="AJ110" s="208">
        <v>17135.800531621757</v>
      </c>
      <c r="AK110" s="208">
        <v>17343.423660152035</v>
      </c>
      <c r="AL110" s="208">
        <v>17553.575684729272</v>
      </c>
      <c r="AM110" s="208">
        <v>17766.287467075032</v>
      </c>
      <c r="AN110" s="208">
        <v>17981.590245853022</v>
      </c>
      <c r="AO110" s="208">
        <v>18199.515641274735</v>
      </c>
      <c r="AP110" s="208">
        <v>18420.09565976153</v>
      </c>
      <c r="AQ110" s="208">
        <v>18643.36269866355</v>
      </c>
      <c r="AR110" s="208">
        <v>18869.349551036426</v>
      </c>
    </row>
    <row r="111" spans="1:44" x14ac:dyDescent="0.2">
      <c r="B111" s="154">
        <v>5</v>
      </c>
      <c r="C111" s="137" t="s">
        <v>228</v>
      </c>
      <c r="D111" s="155" t="s">
        <v>221</v>
      </c>
      <c r="G111" s="207">
        <v>0</v>
      </c>
      <c r="H111" s="207">
        <v>0</v>
      </c>
      <c r="I111" s="207">
        <v>0</v>
      </c>
      <c r="J111" s="207">
        <v>0</v>
      </c>
      <c r="K111" s="207">
        <v>1283.07</v>
      </c>
      <c r="L111" s="207">
        <v>1293.1406999999999</v>
      </c>
      <c r="M111" s="207">
        <v>1298.1406999999999</v>
      </c>
      <c r="N111" s="208">
        <v>4429.8145028333338</v>
      </c>
      <c r="O111" s="208">
        <v>4497.9422495104509</v>
      </c>
      <c r="P111" s="208">
        <v>4567.1530178479297</v>
      </c>
      <c r="Q111" s="208">
        <v>4637.4640530445877</v>
      </c>
      <c r="R111" s="208">
        <v>4710.5607698602425</v>
      </c>
      <c r="S111" s="208">
        <v>4784.8597887601945</v>
      </c>
      <c r="T111" s="208">
        <v>4854.7988707326849</v>
      </c>
      <c r="U111" s="208">
        <v>4925.8096611278816</v>
      </c>
      <c r="V111" s="208">
        <v>4997.90917649313</v>
      </c>
      <c r="W111" s="208">
        <v>5070.1479471903413</v>
      </c>
      <c r="X111" s="208">
        <v>5143.4620046338641</v>
      </c>
      <c r="Y111" s="208">
        <v>5210.9107698158923</v>
      </c>
      <c r="Z111" s="208">
        <v>5279.2718904551721</v>
      </c>
      <c r="AA111" s="208">
        <v>5348.5577945483155</v>
      </c>
      <c r="AB111" s="208">
        <v>5417.7136850034112</v>
      </c>
      <c r="AC111" s="208">
        <v>5487.7877084239281</v>
      </c>
      <c r="AD111" s="208">
        <v>5553.4874060689972</v>
      </c>
      <c r="AE111" s="208">
        <v>5620.9437609953702</v>
      </c>
      <c r="AF111" s="208">
        <v>5689.2223872907007</v>
      </c>
      <c r="AG111" s="208">
        <v>5758.3333135400107</v>
      </c>
      <c r="AH111" s="208">
        <v>5828.2866906927056</v>
      </c>
      <c r="AI111" s="208">
        <v>5899.0927935561476</v>
      </c>
      <c r="AJ111" s="208">
        <v>5970.76202230746</v>
      </c>
      <c r="AK111" s="208">
        <v>6043.3049040238002</v>
      </c>
      <c r="AL111" s="208">
        <v>6116.7320942313108</v>
      </c>
      <c r="AM111" s="208">
        <v>6191.0543784729989</v>
      </c>
      <c r="AN111" s="208">
        <v>6266.2826738957256</v>
      </c>
      <c r="AO111" s="208">
        <v>6342.4280308566103</v>
      </c>
      <c r="AP111" s="208">
        <v>6419.5016345490139</v>
      </c>
      <c r="AQ111" s="208">
        <v>6497.5148066484089</v>
      </c>
      <c r="AR111" s="208">
        <v>6576.4790069783112</v>
      </c>
    </row>
    <row r="112" spans="1:44" x14ac:dyDescent="0.2">
      <c r="B112" s="154">
        <v>6</v>
      </c>
      <c r="C112" s="137" t="s">
        <v>229</v>
      </c>
      <c r="D112" s="155" t="s">
        <v>230</v>
      </c>
      <c r="G112" s="207">
        <v>0</v>
      </c>
      <c r="H112" s="207">
        <v>0</v>
      </c>
      <c r="I112" s="207">
        <v>0</v>
      </c>
      <c r="J112" s="207">
        <v>0</v>
      </c>
      <c r="K112" s="207">
        <v>7629</v>
      </c>
      <c r="L112" s="207">
        <v>7895</v>
      </c>
      <c r="M112" s="207">
        <v>8028</v>
      </c>
      <c r="N112" s="208">
        <v>10891.130380434784</v>
      </c>
      <c r="O112" s="208">
        <v>11017.576038588955</v>
      </c>
      <c r="P112" s="208">
        <v>11144.920631383431</v>
      </c>
      <c r="Q112" s="208">
        <v>11274.195316329693</v>
      </c>
      <c r="R112" s="208">
        <v>11405.431765393208</v>
      </c>
      <c r="S112" s="208">
        <v>11550.078369053073</v>
      </c>
      <c r="T112" s="208">
        <v>11688.677283633378</v>
      </c>
      <c r="U112" s="208">
        <v>11831.784068313771</v>
      </c>
      <c r="V112" s="208">
        <v>11993.555837460251</v>
      </c>
      <c r="W112" s="208">
        <v>12180.696778193927</v>
      </c>
      <c r="X112" s="208">
        <v>12357.231866533064</v>
      </c>
      <c r="Y112" s="208">
        <v>12523.43566992151</v>
      </c>
      <c r="Z112" s="208">
        <v>12689.7868005334</v>
      </c>
      <c r="AA112" s="208">
        <v>12860.315755889966</v>
      </c>
      <c r="AB112" s="208">
        <v>13032.053477724894</v>
      </c>
      <c r="AC112" s="208">
        <v>13200.363767338258</v>
      </c>
      <c r="AD112" s="208">
        <v>13358.373519357629</v>
      </c>
      <c r="AE112" s="208">
        <v>13517.136804630463</v>
      </c>
      <c r="AF112" s="208">
        <v>13678.674878850825</v>
      </c>
      <c r="AG112" s="208">
        <v>13840.009255807556</v>
      </c>
      <c r="AH112" s="208">
        <v>14008.161710522261</v>
      </c>
      <c r="AI112" s="208">
        <v>14176.154282425452</v>
      </c>
      <c r="AJ112" s="208">
        <v>14346.009278571326</v>
      </c>
      <c r="AK112" s="208">
        <v>14518.749276891724</v>
      </c>
      <c r="AL112" s="208">
        <v>14693.397129489646</v>
      </c>
      <c r="AM112" s="208">
        <v>14869.975965972882</v>
      </c>
      <c r="AN112" s="208">
        <v>15050.509196828201</v>
      </c>
      <c r="AO112" s="208">
        <v>15232.020516836625</v>
      </c>
      <c r="AP112" s="208">
        <v>15420.15591244244</v>
      </c>
      <c r="AQ112" s="208">
        <v>15615.246677544828</v>
      </c>
      <c r="AR112" s="208">
        <v>15811.480675327268</v>
      </c>
    </row>
    <row r="113" spans="1:44" x14ac:dyDescent="0.2">
      <c r="B113" s="154">
        <v>7</v>
      </c>
      <c r="C113" s="137" t="s">
        <v>231</v>
      </c>
      <c r="D113" s="155" t="s">
        <v>225</v>
      </c>
      <c r="G113" s="207">
        <v>0</v>
      </c>
      <c r="H113" s="207">
        <v>0</v>
      </c>
      <c r="I113" s="207">
        <v>0</v>
      </c>
      <c r="J113" s="207">
        <v>0</v>
      </c>
      <c r="K113" s="207">
        <v>2043</v>
      </c>
      <c r="L113" s="207">
        <v>2126</v>
      </c>
      <c r="M113" s="207">
        <v>2128.75</v>
      </c>
      <c r="N113" s="208">
        <v>2156.32375</v>
      </c>
      <c r="O113" s="208">
        <v>2171.5931757387993</v>
      </c>
      <c r="P113" s="208">
        <v>2189.4563700608796</v>
      </c>
      <c r="Q113" s="208">
        <v>2207.5973128276355</v>
      </c>
      <c r="R113" s="208">
        <v>2226.02036419877</v>
      </c>
      <c r="S113" s="208">
        <v>2247.1262561216954</v>
      </c>
      <c r="T113" s="208">
        <v>2267.2873598069418</v>
      </c>
      <c r="U113" s="208">
        <v>2294.387206495458</v>
      </c>
      <c r="V113" s="208">
        <v>2321.1914365542157</v>
      </c>
      <c r="W113" s="208">
        <v>2348.4792358133045</v>
      </c>
      <c r="X113" s="208">
        <v>2376.802861073636</v>
      </c>
      <c r="Y113" s="208">
        <v>2405.2618663230983</v>
      </c>
      <c r="Z113" s="208">
        <v>2434.1116461579204</v>
      </c>
      <c r="AA113" s="208">
        <v>2463.3576557940573</v>
      </c>
      <c r="AB113" s="208">
        <v>2493.0054282693686</v>
      </c>
      <c r="AC113" s="208">
        <v>2521.9876045048791</v>
      </c>
      <c r="AD113" s="208">
        <v>2549.0586247192696</v>
      </c>
      <c r="AE113" s="208">
        <v>2576.4569753643627</v>
      </c>
      <c r="AF113" s="208">
        <v>2604.1866219816679</v>
      </c>
      <c r="AG113" s="208">
        <v>2632.2515782313776</v>
      </c>
      <c r="AH113" s="208">
        <v>2660.6559064770336</v>
      </c>
      <c r="AI113" s="208">
        <v>2691.6674915110302</v>
      </c>
      <c r="AJ113" s="208">
        <v>2722.722328662217</v>
      </c>
      <c r="AK113" s="208">
        <v>2754.1529783949763</v>
      </c>
      <c r="AL113" s="208">
        <v>2787.6024767938684</v>
      </c>
      <c r="AM113" s="208">
        <v>2821.2856235161089</v>
      </c>
      <c r="AN113" s="208">
        <v>2855.3765994029636</v>
      </c>
      <c r="AO113" s="208">
        <v>2889.8803507617827</v>
      </c>
      <c r="AP113" s="208">
        <v>2924.8018839753167</v>
      </c>
      <c r="AQ113" s="208">
        <v>2960.1462662322315</v>
      </c>
      <c r="AR113" s="208">
        <v>2995.9186262664839</v>
      </c>
    </row>
    <row r="114" spans="1:44" x14ac:dyDescent="0.2">
      <c r="B114" s="154">
        <v>8</v>
      </c>
      <c r="C114" s="137" t="s">
        <v>232</v>
      </c>
      <c r="D114" s="155" t="s">
        <v>233</v>
      </c>
      <c r="G114" s="207">
        <v>0</v>
      </c>
      <c r="H114" s="207">
        <v>0</v>
      </c>
      <c r="I114" s="207">
        <v>0</v>
      </c>
      <c r="J114" s="207">
        <v>0</v>
      </c>
      <c r="K114" s="207">
        <v>5867</v>
      </c>
      <c r="L114" s="207">
        <v>5857</v>
      </c>
      <c r="M114" s="207">
        <v>5873</v>
      </c>
      <c r="N114" s="208">
        <v>27401.921999999995</v>
      </c>
      <c r="O114" s="208">
        <v>27814.991564248496</v>
      </c>
      <c r="P114" s="208">
        <v>28234.709181654045</v>
      </c>
      <c r="Q114" s="208">
        <v>28661.183295653362</v>
      </c>
      <c r="R114" s="208">
        <v>29094.524151207374</v>
      </c>
      <c r="S114" s="208">
        <v>29535.621573108983</v>
      </c>
      <c r="T114" s="208">
        <v>29950.217803449988</v>
      </c>
      <c r="U114" s="208">
        <v>30371.022047711034</v>
      </c>
      <c r="V114" s="208">
        <v>30798.129313307541</v>
      </c>
      <c r="W114" s="208">
        <v>31231.636113433029</v>
      </c>
      <c r="X114" s="208">
        <v>31671.189681191241</v>
      </c>
      <c r="Y114" s="208">
        <v>32075.415918918396</v>
      </c>
      <c r="Z114" s="208">
        <v>32485.140845938793</v>
      </c>
      <c r="AA114" s="208">
        <v>32900.441584445842</v>
      </c>
      <c r="AB114" s="208">
        <v>33321.39639903832</v>
      </c>
      <c r="AC114" s="208">
        <v>33747.586983345529</v>
      </c>
      <c r="AD114" s="208">
        <v>34144.766478975762</v>
      </c>
      <c r="AE114" s="208">
        <v>34546.937078759482</v>
      </c>
      <c r="AF114" s="208">
        <v>34954.164392420789</v>
      </c>
      <c r="AG114" s="208">
        <v>35366.51497028047</v>
      </c>
      <c r="AH114" s="208">
        <v>35784.056318912786</v>
      </c>
      <c r="AI114" s="208">
        <v>36206.856917118435</v>
      </c>
      <c r="AJ114" s="208">
        <v>36634.986232221112</v>
      </c>
      <c r="AK114" s="208">
        <v>37068.514736695892</v>
      </c>
      <c r="AL114" s="208">
        <v>37507.513925136991</v>
      </c>
      <c r="AM114" s="208">
        <v>37952.056331573614</v>
      </c>
      <c r="AN114" s="208">
        <v>38402.215547141815</v>
      </c>
      <c r="AO114" s="208">
        <v>38858.066238121741</v>
      </c>
      <c r="AP114" s="208">
        <v>39319.684164348371</v>
      </c>
      <c r="AQ114" s="208">
        <v>39787.146198005779</v>
      </c>
      <c r="AR114" s="208">
        <v>40260.530342813698</v>
      </c>
    </row>
    <row r="115" spans="1:44" x14ac:dyDescent="0.2">
      <c r="B115" s="157"/>
      <c r="C115" s="158" t="s">
        <v>84</v>
      </c>
      <c r="D115" s="159"/>
      <c r="E115" s="158"/>
      <c r="F115" s="158"/>
      <c r="G115" s="170">
        <v>0</v>
      </c>
      <c r="H115" s="170">
        <v>0</v>
      </c>
      <c r="I115" s="170">
        <v>0</v>
      </c>
      <c r="J115" s="170">
        <v>0</v>
      </c>
      <c r="K115" s="170">
        <v>32721.837441860465</v>
      </c>
      <c r="L115" s="170">
        <v>33110.140700000004</v>
      </c>
      <c r="M115" s="170">
        <v>33289.155700000003</v>
      </c>
      <c r="N115" s="160">
        <v>69676.327641108539</v>
      </c>
      <c r="O115" s="160">
        <v>70650.211252405235</v>
      </c>
      <c r="P115" s="160">
        <v>71640.858709145134</v>
      </c>
      <c r="Q115" s="160">
        <v>72647.198902125194</v>
      </c>
      <c r="R115" s="160">
        <v>73671.152991421419</v>
      </c>
      <c r="S115" s="160">
        <v>74746.531997272337</v>
      </c>
      <c r="T115" s="160">
        <v>75762.318524274946</v>
      </c>
      <c r="U115" s="160">
        <v>76802.866854365537</v>
      </c>
      <c r="V115" s="160">
        <v>77875.322853785707</v>
      </c>
      <c r="W115" s="160">
        <v>78986.430544311268</v>
      </c>
      <c r="X115" s="160">
        <v>80081.646471217755</v>
      </c>
      <c r="Y115" s="160">
        <v>81095.446584645586</v>
      </c>
      <c r="Z115" s="160">
        <v>82120.794358897896</v>
      </c>
      <c r="AA115" s="160">
        <v>83175.708221106339</v>
      </c>
      <c r="AB115" s="160">
        <v>84243.157887876674</v>
      </c>
      <c r="AC115" s="160">
        <v>85316.482274844806</v>
      </c>
      <c r="AD115" s="160">
        <v>86318.463454565586</v>
      </c>
      <c r="AE115" s="160">
        <v>87332.566481288508</v>
      </c>
      <c r="AF115" s="160">
        <v>88359.999987907358</v>
      </c>
      <c r="AG115" s="160">
        <v>89407.749508871959</v>
      </c>
      <c r="AH115" s="160">
        <v>90472.425437002123</v>
      </c>
      <c r="AI115" s="160">
        <v>91550.268390958823</v>
      </c>
      <c r="AJ115" s="160">
        <v>92640.872590732441</v>
      </c>
      <c r="AK115" s="160">
        <v>93745.730907688063</v>
      </c>
      <c r="AL115" s="160">
        <v>94865.648805199307</v>
      </c>
      <c r="AM115" s="160">
        <v>95999.005657258851</v>
      </c>
      <c r="AN115" s="160">
        <v>97148.142397266667</v>
      </c>
      <c r="AO115" s="160">
        <v>98310.23293401931</v>
      </c>
      <c r="AP115" s="160">
        <v>99491.075482478453</v>
      </c>
      <c r="AQ115" s="160">
        <v>100691.15560959399</v>
      </c>
      <c r="AR115" s="160">
        <v>101904.81752669404</v>
      </c>
    </row>
    <row r="116" spans="1:44" x14ac:dyDescent="0.2">
      <c r="B116" s="154"/>
      <c r="D116" s="155"/>
      <c r="G116" s="154"/>
      <c r="H116" s="154"/>
      <c r="I116" s="154"/>
      <c r="J116" s="154"/>
      <c r="K116" s="154"/>
      <c r="L116" s="206"/>
      <c r="S116" s="209">
        <v>373732.65998636169</v>
      </c>
      <c r="W116" s="172"/>
      <c r="AR116" s="204">
        <v>509524.08763347019</v>
      </c>
    </row>
    <row r="117" spans="1:44" x14ac:dyDescent="0.2">
      <c r="B117" s="139"/>
      <c r="C117" s="140" t="s">
        <v>247</v>
      </c>
      <c r="D117" s="141"/>
      <c r="E117" s="140"/>
      <c r="F117" s="140"/>
      <c r="G117" s="142"/>
      <c r="H117" s="142"/>
      <c r="I117" s="139"/>
      <c r="J117" s="139"/>
      <c r="K117" s="139"/>
      <c r="L117" s="143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0"/>
      <c r="X117" s="144"/>
      <c r="Y117" s="144"/>
      <c r="Z117" s="144"/>
      <c r="AA117" s="144"/>
      <c r="AB117" s="144"/>
      <c r="AC117" s="144"/>
      <c r="AD117" s="144"/>
      <c r="AE117" s="144"/>
      <c r="AF117" s="144"/>
      <c r="AG117" s="144"/>
      <c r="AH117" s="144"/>
      <c r="AI117" s="144"/>
      <c r="AJ117" s="144"/>
      <c r="AK117" s="144"/>
      <c r="AL117" s="144"/>
      <c r="AM117" s="144"/>
      <c r="AN117" s="144"/>
      <c r="AO117" s="144"/>
      <c r="AP117" s="144"/>
      <c r="AQ117" s="144"/>
      <c r="AR117" s="144"/>
    </row>
    <row r="118" spans="1:44" x14ac:dyDescent="0.2">
      <c r="A118" s="145"/>
      <c r="B118" s="146"/>
      <c r="C118" s="146" t="s">
        <v>218</v>
      </c>
      <c r="D118" s="147" t="s">
        <v>219</v>
      </c>
      <c r="E118" s="146"/>
      <c r="F118" s="146"/>
      <c r="G118" s="148">
        <v>2019</v>
      </c>
      <c r="H118" s="148">
        <v>2020</v>
      </c>
      <c r="I118" s="148">
        <v>2021</v>
      </c>
      <c r="J118" s="148">
        <v>2022</v>
      </c>
      <c r="K118" s="148">
        <v>2023</v>
      </c>
      <c r="L118" s="149">
        <v>45352</v>
      </c>
      <c r="M118" s="148">
        <v>2024</v>
      </c>
      <c r="N118" s="146">
        <v>2025</v>
      </c>
      <c r="O118" s="146">
        <v>2026</v>
      </c>
      <c r="P118" s="146">
        <v>2027</v>
      </c>
      <c r="Q118" s="146">
        <v>2028</v>
      </c>
      <c r="R118" s="146">
        <v>2029</v>
      </c>
      <c r="S118" s="146">
        <v>2030</v>
      </c>
      <c r="T118" s="146">
        <v>2031</v>
      </c>
      <c r="U118" s="146">
        <v>2032</v>
      </c>
      <c r="V118" s="146">
        <v>2033</v>
      </c>
      <c r="W118" s="146">
        <v>2034</v>
      </c>
      <c r="X118" s="146">
        <v>2035</v>
      </c>
      <c r="Y118" s="146">
        <v>2036</v>
      </c>
      <c r="Z118" s="146">
        <v>2037</v>
      </c>
      <c r="AA118" s="146">
        <v>2038</v>
      </c>
      <c r="AB118" s="146">
        <v>2039</v>
      </c>
      <c r="AC118" s="146">
        <v>2040</v>
      </c>
      <c r="AD118" s="146">
        <v>2041</v>
      </c>
      <c r="AE118" s="146">
        <v>2042</v>
      </c>
      <c r="AF118" s="146">
        <v>2043</v>
      </c>
      <c r="AG118" s="146">
        <v>2044</v>
      </c>
      <c r="AH118" s="146">
        <v>2045</v>
      </c>
      <c r="AI118" s="146">
        <v>2046</v>
      </c>
      <c r="AJ118" s="146">
        <v>2047</v>
      </c>
      <c r="AK118" s="146">
        <v>2048</v>
      </c>
      <c r="AL118" s="146">
        <v>2049</v>
      </c>
      <c r="AM118" s="146">
        <v>2050</v>
      </c>
      <c r="AN118" s="146">
        <v>2051</v>
      </c>
      <c r="AO118" s="146">
        <v>2052</v>
      </c>
      <c r="AP118" s="146">
        <v>2053</v>
      </c>
      <c r="AQ118" s="146">
        <v>2054</v>
      </c>
      <c r="AR118" s="146">
        <v>2055</v>
      </c>
    </row>
    <row r="119" spans="1:44" x14ac:dyDescent="0.2">
      <c r="A119" s="184"/>
      <c r="B119" s="185"/>
      <c r="C119" s="185"/>
      <c r="D119" s="186"/>
      <c r="E119" s="185"/>
      <c r="F119" s="185"/>
      <c r="G119" s="185"/>
      <c r="H119" s="185"/>
      <c r="I119" s="185"/>
      <c r="J119" s="185"/>
      <c r="K119" s="185"/>
      <c r="L119" s="185"/>
      <c r="M119" s="185"/>
      <c r="N119" s="185"/>
      <c r="O119" s="185"/>
      <c r="P119" s="185"/>
      <c r="Q119" s="185"/>
      <c r="R119" s="185"/>
      <c r="S119" s="185"/>
      <c r="T119" s="185"/>
      <c r="U119" s="185"/>
      <c r="V119" s="185"/>
      <c r="W119" s="185"/>
      <c r="X119" s="185"/>
      <c r="Y119" s="185"/>
      <c r="Z119" s="185"/>
      <c r="AA119" s="185"/>
      <c r="AB119" s="185"/>
      <c r="AC119" s="185"/>
      <c r="AD119" s="185"/>
      <c r="AE119" s="185"/>
      <c r="AF119" s="185"/>
      <c r="AG119" s="185"/>
      <c r="AH119" s="185"/>
      <c r="AI119" s="185"/>
      <c r="AJ119" s="185"/>
      <c r="AK119" s="185"/>
      <c r="AL119" s="185"/>
      <c r="AM119" s="185"/>
      <c r="AN119" s="185"/>
      <c r="AO119" s="185"/>
      <c r="AP119" s="185"/>
      <c r="AQ119" s="185"/>
      <c r="AR119" s="185"/>
    </row>
    <row r="120" spans="1:44" x14ac:dyDescent="0.2">
      <c r="B120" s="154">
        <v>1</v>
      </c>
      <c r="C120" s="137" t="s">
        <v>220</v>
      </c>
      <c r="D120" s="155" t="s">
        <v>221</v>
      </c>
      <c r="G120" s="156">
        <v>0</v>
      </c>
      <c r="H120" s="156">
        <v>0</v>
      </c>
      <c r="I120" s="156">
        <v>0</v>
      </c>
      <c r="J120" s="210">
        <v>0</v>
      </c>
      <c r="K120" s="210">
        <v>137</v>
      </c>
      <c r="L120" s="156">
        <v>0</v>
      </c>
      <c r="M120" s="156">
        <v>144.9323</v>
      </c>
      <c r="N120" s="156">
        <v>157.6863424</v>
      </c>
      <c r="O120" s="156">
        <v>171.67491033337538</v>
      </c>
      <c r="P120" s="156">
        <v>186.9044229791995</v>
      </c>
      <c r="Q120" s="156">
        <v>203.48496621521826</v>
      </c>
      <c r="R120" s="156">
        <v>221.53639178574488</v>
      </c>
      <c r="S120" s="156">
        <v>241.1891836448435</v>
      </c>
      <c r="T120" s="156">
        <v>262.58540115398426</v>
      </c>
      <c r="U120" s="156">
        <v>285.87970595203342</v>
      </c>
      <c r="V120" s="156">
        <v>311.24047992026391</v>
      </c>
      <c r="W120" s="156">
        <v>338.85104232354894</v>
      </c>
      <c r="X120" s="156">
        <v>368.91097492579075</v>
      </c>
      <c r="Y120" s="156">
        <v>401.63756465812492</v>
      </c>
      <c r="Z120" s="156">
        <v>437.26737426816527</v>
      </c>
      <c r="AA120" s="156">
        <v>476.05795230365982</v>
      </c>
      <c r="AB120" s="156">
        <v>518.28969479110128</v>
      </c>
      <c r="AC120" s="156">
        <v>564.26787206635606</v>
      </c>
      <c r="AD120" s="156">
        <v>614.32483540816918</v>
      </c>
      <c r="AE120" s="156">
        <v>668.822419425102</v>
      </c>
      <c r="AF120" s="156">
        <v>728.15455756145161</v>
      </c>
      <c r="AG120" s="156">
        <v>792.75012962822598</v>
      </c>
      <c r="AH120" s="156">
        <v>863.07606194242862</v>
      </c>
      <c r="AI120" s="156">
        <v>939.64070248387713</v>
      </c>
      <c r="AJ120" s="156">
        <v>1022.9974954667315</v>
      </c>
      <c r="AK120" s="156">
        <v>1113.7489818872145</v>
      </c>
      <c r="AL120" s="156">
        <v>1212.5511549653122</v>
      </c>
      <c r="AM120" s="156">
        <v>1320.1182019635755</v>
      </c>
      <c r="AN120" s="156">
        <v>1437.2276666590599</v>
      </c>
      <c r="AO120" s="156">
        <v>1564.7260697851054</v>
      </c>
      <c r="AP120" s="156">
        <v>1703.5350280700839</v>
      </c>
      <c r="AQ120" s="156">
        <v>1854.6579161043169</v>
      </c>
      <c r="AR120" s="156">
        <v>2019.1871191901871</v>
      </c>
    </row>
    <row r="121" spans="1:44" x14ac:dyDescent="0.2">
      <c r="B121" s="154">
        <v>2</v>
      </c>
      <c r="C121" s="137" t="s">
        <v>222</v>
      </c>
      <c r="D121" s="155" t="s">
        <v>223</v>
      </c>
      <c r="G121" s="156">
        <v>0</v>
      </c>
      <c r="H121" s="156">
        <v>0</v>
      </c>
      <c r="I121" s="156">
        <v>0</v>
      </c>
      <c r="J121" s="210">
        <v>126</v>
      </c>
      <c r="K121" s="210">
        <v>705</v>
      </c>
      <c r="L121" s="156">
        <v>0</v>
      </c>
      <c r="M121" s="156">
        <v>745.81950000000006</v>
      </c>
      <c r="N121" s="156">
        <v>811.45161600000017</v>
      </c>
      <c r="O121" s="156">
        <v>883.43658237247939</v>
      </c>
      <c r="P121" s="156">
        <v>961.80743211923846</v>
      </c>
      <c r="Q121" s="156">
        <v>1047.1306655600649</v>
      </c>
      <c r="R121" s="156">
        <v>1140.0230380215341</v>
      </c>
      <c r="S121" s="156">
        <v>1241.1560180263848</v>
      </c>
      <c r="T121" s="156">
        <v>1351.260640974883</v>
      </c>
      <c r="U121" s="156">
        <v>1471.1327934028002</v>
      </c>
      <c r="V121" s="156">
        <v>1601.6389660130374</v>
      </c>
      <c r="W121" s="156">
        <v>1743.7225170664385</v>
      </c>
      <c r="X121" s="156">
        <v>1898.4104914064419</v>
      </c>
      <c r="Y121" s="156">
        <v>2066.8210444085994</v>
      </c>
      <c r="Z121" s="156">
        <v>2250.171524518661</v>
      </c>
      <c r="AA121" s="156">
        <v>2449.7872728035054</v>
      </c>
      <c r="AB121" s="156">
        <v>2667.1112031220914</v>
      </c>
      <c r="AC121" s="156">
        <v>2903.7142321662855</v>
      </c>
      <c r="AD121" s="156">
        <v>3161.3066347646668</v>
      </c>
      <c r="AE121" s="156">
        <v>3441.7504065306348</v>
      </c>
      <c r="AF121" s="156">
        <v>3747.0727232176896</v>
      </c>
      <c r="AG121" s="156">
        <v>4079.4805940722586</v>
      </c>
      <c r="AH121" s="156">
        <v>4441.3768151051991</v>
      </c>
      <c r="AI121" s="156">
        <v>4835.3773375995142</v>
      </c>
      <c r="AJ121" s="156">
        <v>5264.3301774017937</v>
      </c>
      <c r="AK121" s="156">
        <v>5731.3360016823817</v>
      </c>
      <c r="AL121" s="156">
        <v>6239.7705419747826</v>
      </c>
      <c r="AM121" s="156">
        <v>6793.3089955059922</v>
      </c>
      <c r="AN121" s="156">
        <v>7395.9525912017325</v>
      </c>
      <c r="AO121" s="156">
        <v>8052.0575123978069</v>
      </c>
      <c r="AP121" s="156">
        <v>8766.366385324156</v>
      </c>
      <c r="AQ121" s="156">
        <v>9544.0425609747708</v>
      </c>
      <c r="AR121" s="156">
        <v>10390.707438168483</v>
      </c>
    </row>
    <row r="122" spans="1:44" x14ac:dyDescent="0.2">
      <c r="B122" s="154">
        <v>3</v>
      </c>
      <c r="C122" s="137" t="s">
        <v>224</v>
      </c>
      <c r="D122" s="155" t="s">
        <v>225</v>
      </c>
      <c r="G122" s="156">
        <v>0</v>
      </c>
      <c r="H122" s="156">
        <v>0</v>
      </c>
      <c r="I122" s="156">
        <v>0</v>
      </c>
      <c r="J122" s="210">
        <v>0</v>
      </c>
      <c r="K122" s="210">
        <v>0</v>
      </c>
      <c r="L122" s="156">
        <v>0</v>
      </c>
      <c r="M122" s="156">
        <v>0</v>
      </c>
      <c r="N122" s="156">
        <v>0</v>
      </c>
      <c r="O122" s="156">
        <v>0</v>
      </c>
      <c r="P122" s="156">
        <v>0</v>
      </c>
      <c r="Q122" s="156">
        <v>0</v>
      </c>
      <c r="R122" s="156">
        <v>0</v>
      </c>
      <c r="S122" s="156">
        <v>0</v>
      </c>
      <c r="T122" s="156">
        <v>0</v>
      </c>
      <c r="U122" s="156">
        <v>0</v>
      </c>
      <c r="V122" s="156">
        <v>0</v>
      </c>
      <c r="W122" s="156">
        <v>0</v>
      </c>
      <c r="X122" s="156">
        <v>0</v>
      </c>
      <c r="Y122" s="156">
        <v>0</v>
      </c>
      <c r="Z122" s="156">
        <v>0</v>
      </c>
      <c r="AA122" s="156">
        <v>0</v>
      </c>
      <c r="AB122" s="156">
        <v>0</v>
      </c>
      <c r="AC122" s="156">
        <v>0</v>
      </c>
      <c r="AD122" s="156">
        <v>0</v>
      </c>
      <c r="AE122" s="156">
        <v>0</v>
      </c>
      <c r="AF122" s="156">
        <v>0</v>
      </c>
      <c r="AG122" s="156">
        <v>0</v>
      </c>
      <c r="AH122" s="156">
        <v>0</v>
      </c>
      <c r="AI122" s="156">
        <v>0</v>
      </c>
      <c r="AJ122" s="156">
        <v>0</v>
      </c>
      <c r="AK122" s="156">
        <v>0</v>
      </c>
      <c r="AL122" s="156">
        <v>0</v>
      </c>
      <c r="AM122" s="156">
        <v>0</v>
      </c>
      <c r="AN122" s="156">
        <v>0</v>
      </c>
      <c r="AO122" s="156">
        <v>0</v>
      </c>
      <c r="AP122" s="156">
        <v>0</v>
      </c>
      <c r="AQ122" s="156">
        <v>0</v>
      </c>
      <c r="AR122" s="156">
        <v>0</v>
      </c>
    </row>
    <row r="123" spans="1:44" x14ac:dyDescent="0.2">
      <c r="B123" s="154">
        <v>4</v>
      </c>
      <c r="C123" s="137" t="s">
        <v>226</v>
      </c>
      <c r="D123" s="155" t="s">
        <v>227</v>
      </c>
      <c r="G123" s="156">
        <v>0</v>
      </c>
      <c r="H123" s="156">
        <v>0</v>
      </c>
      <c r="I123" s="156">
        <v>0</v>
      </c>
      <c r="J123" s="210">
        <v>2220</v>
      </c>
      <c r="K123" s="210">
        <v>9785</v>
      </c>
      <c r="L123" s="156">
        <v>0</v>
      </c>
      <c r="M123" s="156">
        <v>10351.551500000001</v>
      </c>
      <c r="N123" s="156">
        <v>11262.488032000003</v>
      </c>
      <c r="O123" s="156">
        <v>12261.598522715902</v>
      </c>
      <c r="P123" s="156">
        <v>13349.341451470566</v>
      </c>
      <c r="Q123" s="156">
        <v>14533.579521284024</v>
      </c>
      <c r="R123" s="156">
        <v>15822.872946157038</v>
      </c>
      <c r="S123" s="156">
        <v>17226.541328210176</v>
      </c>
      <c r="T123" s="156">
        <v>18754.731024027275</v>
      </c>
      <c r="U123" s="156">
        <v>20418.488487158011</v>
      </c>
      <c r="V123" s="156">
        <v>22229.840116932723</v>
      </c>
      <c r="W123" s="156">
        <v>24201.87919077319</v>
      </c>
      <c r="X123" s="156">
        <v>26348.860508385864</v>
      </c>
      <c r="Y123" s="156">
        <v>28686.303431969001</v>
      </c>
      <c r="Z123" s="156">
        <v>31231.104067255459</v>
      </c>
      <c r="AA123" s="156">
        <v>34001.657396286952</v>
      </c>
      <c r="AB123" s="156">
        <v>37017.990244751294</v>
      </c>
      <c r="AC123" s="156">
        <v>40301.906045031348</v>
      </c>
      <c r="AD123" s="156">
        <v>43877.142441379096</v>
      </c>
      <c r="AE123" s="156">
        <v>47769.542876457104</v>
      </c>
      <c r="AF123" s="156">
        <v>52007.243399553321</v>
      </c>
      <c r="AG123" s="156">
        <v>56620.876046804326</v>
      </c>
      <c r="AH123" s="156">
        <v>61643.790263552306</v>
      </c>
      <c r="AI123" s="156">
        <v>67112.293969377657</v>
      </c>
      <c r="AJ123" s="156">
        <v>73065.916008335538</v>
      </c>
      <c r="AK123" s="156">
        <v>79547.691881506544</v>
      </c>
      <c r="AL123" s="156">
        <v>86604.474827267026</v>
      </c>
      <c r="AM123" s="156">
        <v>94287.274497909413</v>
      </c>
      <c r="AN123" s="156">
        <v>102651.62568072193</v>
      </c>
      <c r="AO123" s="156">
        <v>111757.98972881213</v>
      </c>
      <c r="AP123" s="156">
        <v>121672.19160339983</v>
      </c>
      <c r="AQ123" s="156">
        <v>132465.89568672079</v>
      </c>
      <c r="AR123" s="156">
        <v>144217.12380493424</v>
      </c>
    </row>
    <row r="124" spans="1:44" x14ac:dyDescent="0.2">
      <c r="B124" s="154">
        <v>5</v>
      </c>
      <c r="C124" s="137" t="s">
        <v>228</v>
      </c>
      <c r="D124" s="155" t="s">
        <v>221</v>
      </c>
      <c r="G124" s="156">
        <v>0</v>
      </c>
      <c r="H124" s="156">
        <v>0</v>
      </c>
      <c r="I124" s="156">
        <v>0</v>
      </c>
      <c r="J124" s="210">
        <v>0</v>
      </c>
      <c r="K124" s="210">
        <v>2142</v>
      </c>
      <c r="L124" s="156">
        <v>0</v>
      </c>
      <c r="M124" s="156">
        <v>2266.0218</v>
      </c>
      <c r="N124" s="156">
        <v>2465.4317184000001</v>
      </c>
      <c r="O124" s="156">
        <v>2684.143488570001</v>
      </c>
      <c r="P124" s="156">
        <v>2922.2574746090904</v>
      </c>
      <c r="Q124" s="156">
        <v>3181.4948732335592</v>
      </c>
      <c r="R124" s="156">
        <v>3463.7295708398951</v>
      </c>
      <c r="S124" s="156">
        <v>3771.0016888120795</v>
      </c>
      <c r="T124" s="156">
        <v>4105.5323304513458</v>
      </c>
      <c r="U124" s="156">
        <v>4469.7396361259534</v>
      </c>
      <c r="V124" s="156">
        <v>4866.2562626949293</v>
      </c>
      <c r="W124" s="156">
        <v>5297.9484135550501</v>
      </c>
      <c r="X124" s="156">
        <v>5767.9365568689327</v>
      </c>
      <c r="Y124" s="156">
        <v>6279.6179817350621</v>
      </c>
      <c r="Z124" s="156">
        <v>6836.6913553460581</v>
      </c>
      <c r="AA124" s="156">
        <v>7443.1834586455425</v>
      </c>
      <c r="AB124" s="156">
        <v>8103.478293741161</v>
      </c>
      <c r="AC124" s="156">
        <v>8822.3487734754362</v>
      </c>
      <c r="AD124" s="156">
        <v>9604.9912222211569</v>
      </c>
      <c r="AE124" s="156">
        <v>10457.062937288822</v>
      </c>
      <c r="AF124" s="156">
        <v>11384.723082457149</v>
      </c>
      <c r="AG124" s="156">
        <v>12394.677209223797</v>
      </c>
      <c r="AH124" s="156">
        <v>13494.225727596222</v>
      </c>
      <c r="AI124" s="156">
        <v>14691.316676791716</v>
      </c>
      <c r="AJ124" s="156">
        <v>15994.603177297366</v>
      </c>
      <c r="AK124" s="156">
        <v>17413.505979579666</v>
      </c>
      <c r="AL124" s="156">
        <v>18958.281561574451</v>
      </c>
      <c r="AM124" s="156">
        <v>20640.096267196936</v>
      </c>
      <c r="AN124" s="156">
        <v>22471.107021778887</v>
      </c>
      <c r="AO124" s="156">
        <v>24464.549207881002</v>
      </c>
      <c r="AP124" s="156">
        <v>26634.832336687017</v>
      </c>
      <c r="AQ124" s="156">
        <v>28997.644206536119</v>
      </c>
      <c r="AR124" s="156">
        <v>31570.064301499144</v>
      </c>
    </row>
    <row r="125" spans="1:44" x14ac:dyDescent="0.2">
      <c r="B125" s="154">
        <v>6</v>
      </c>
      <c r="C125" s="137" t="s">
        <v>229</v>
      </c>
      <c r="D125" s="155" t="s">
        <v>230</v>
      </c>
      <c r="G125" s="156">
        <v>0</v>
      </c>
      <c r="H125" s="156">
        <v>0</v>
      </c>
      <c r="I125" s="156">
        <v>0</v>
      </c>
      <c r="J125" s="210">
        <v>23003</v>
      </c>
      <c r="K125" s="210">
        <v>289817</v>
      </c>
      <c r="L125" s="156">
        <v>0</v>
      </c>
      <c r="M125" s="156">
        <v>306597.40429999999</v>
      </c>
      <c r="N125" s="156">
        <v>333577.97587840003</v>
      </c>
      <c r="O125" s="156">
        <v>363170.12765027635</v>
      </c>
      <c r="P125" s="156">
        <v>395387.43908439903</v>
      </c>
      <c r="Q125" s="156">
        <v>430462.79163208703</v>
      </c>
      <c r="R125" s="156">
        <v>468649.72597203823</v>
      </c>
      <c r="S125" s="156">
        <v>510224.27471823082</v>
      </c>
      <c r="T125" s="156">
        <v>555486.95770981221</v>
      </c>
      <c r="U125" s="156">
        <v>604764.95430584287</v>
      </c>
      <c r="V125" s="156">
        <v>658414.46838723449</v>
      </c>
      <c r="W125" s="156">
        <v>716823.30316119699</v>
      </c>
      <c r="X125" s="156">
        <v>780413.66438005771</v>
      </c>
      <c r="Y125" s="156">
        <v>849645.2122374</v>
      </c>
      <c r="Z125" s="156">
        <v>925018.38400202093</v>
      </c>
      <c r="AA125" s="156">
        <v>1007078.0114072247</v>
      </c>
      <c r="AB125" s="156">
        <v>1096417.2589435957</v>
      </c>
      <c r="AC125" s="156">
        <v>1193681.9115230299</v>
      </c>
      <c r="AD125" s="156">
        <v>1299575.0425072215</v>
      </c>
      <c r="AE125" s="156">
        <v>1414862.0958432462</v>
      </c>
      <c r="AF125" s="156">
        <v>1454792.7631505821</v>
      </c>
      <c r="AG125" s="156">
        <v>1454792.7631505821</v>
      </c>
      <c r="AH125" s="156">
        <v>1454792.7631505821</v>
      </c>
      <c r="AI125" s="156">
        <v>1454792.7631505821</v>
      </c>
      <c r="AJ125" s="156">
        <v>1454792.7631505821</v>
      </c>
      <c r="AK125" s="156">
        <v>1454792.7631505821</v>
      </c>
      <c r="AL125" s="156">
        <v>1454792.7631505821</v>
      </c>
      <c r="AM125" s="156">
        <v>1454792.7631505821</v>
      </c>
      <c r="AN125" s="156">
        <v>1454792.7631505821</v>
      </c>
      <c r="AO125" s="156">
        <v>1454792.7631505821</v>
      </c>
      <c r="AP125" s="156">
        <v>1454792.7631505821</v>
      </c>
      <c r="AQ125" s="156">
        <v>1454792.7631505821</v>
      </c>
      <c r="AR125" s="156">
        <v>1454792.7631505821</v>
      </c>
    </row>
    <row r="126" spans="1:44" x14ac:dyDescent="0.2">
      <c r="B126" s="154">
        <v>7</v>
      </c>
      <c r="C126" s="137" t="s">
        <v>231</v>
      </c>
      <c r="D126" s="155" t="s">
        <v>225</v>
      </c>
      <c r="G126" s="156">
        <v>0</v>
      </c>
      <c r="H126" s="156">
        <v>0</v>
      </c>
      <c r="I126" s="156">
        <v>0</v>
      </c>
      <c r="J126" s="210">
        <v>0</v>
      </c>
      <c r="K126" s="210">
        <v>0</v>
      </c>
      <c r="L126" s="156">
        <v>0</v>
      </c>
      <c r="M126" s="156">
        <v>0</v>
      </c>
      <c r="N126" s="156">
        <v>0</v>
      </c>
      <c r="O126" s="156">
        <v>0</v>
      </c>
      <c r="P126" s="156">
        <v>0</v>
      </c>
      <c r="Q126" s="156">
        <v>0</v>
      </c>
      <c r="R126" s="156">
        <v>0</v>
      </c>
      <c r="S126" s="156">
        <v>0</v>
      </c>
      <c r="T126" s="156">
        <v>0</v>
      </c>
      <c r="U126" s="156">
        <v>0</v>
      </c>
      <c r="V126" s="156">
        <v>0</v>
      </c>
      <c r="W126" s="156">
        <v>0</v>
      </c>
      <c r="X126" s="156">
        <v>0</v>
      </c>
      <c r="Y126" s="156">
        <v>0</v>
      </c>
      <c r="Z126" s="156">
        <v>0</v>
      </c>
      <c r="AA126" s="156">
        <v>0</v>
      </c>
      <c r="AB126" s="156">
        <v>0</v>
      </c>
      <c r="AC126" s="156">
        <v>0</v>
      </c>
      <c r="AD126" s="156">
        <v>0</v>
      </c>
      <c r="AE126" s="156">
        <v>0</v>
      </c>
      <c r="AF126" s="156">
        <v>0</v>
      </c>
      <c r="AG126" s="156">
        <v>0</v>
      </c>
      <c r="AH126" s="156">
        <v>0</v>
      </c>
      <c r="AI126" s="156">
        <v>0</v>
      </c>
      <c r="AJ126" s="156">
        <v>0</v>
      </c>
      <c r="AK126" s="156">
        <v>0</v>
      </c>
      <c r="AL126" s="156">
        <v>0</v>
      </c>
      <c r="AM126" s="156">
        <v>0</v>
      </c>
      <c r="AN126" s="156">
        <v>0</v>
      </c>
      <c r="AO126" s="156">
        <v>0</v>
      </c>
      <c r="AP126" s="156">
        <v>0</v>
      </c>
      <c r="AQ126" s="156">
        <v>0</v>
      </c>
      <c r="AR126" s="156">
        <v>0</v>
      </c>
    </row>
    <row r="127" spans="1:44" x14ac:dyDescent="0.2">
      <c r="B127" s="154">
        <v>8</v>
      </c>
      <c r="C127" s="137" t="s">
        <v>232</v>
      </c>
      <c r="D127" s="155" t="s">
        <v>233</v>
      </c>
      <c r="G127" s="156">
        <v>0</v>
      </c>
      <c r="H127" s="156">
        <v>0</v>
      </c>
      <c r="I127" s="156">
        <v>0</v>
      </c>
      <c r="J127" s="210">
        <v>3366</v>
      </c>
      <c r="K127" s="210">
        <v>6939</v>
      </c>
      <c r="L127" s="156">
        <v>0</v>
      </c>
      <c r="M127" s="156">
        <v>7340.7681000000002</v>
      </c>
      <c r="N127" s="156">
        <v>7986.7556928000013</v>
      </c>
      <c r="O127" s="156">
        <v>8695.2715533087012</v>
      </c>
      <c r="P127" s="156">
        <v>9466.6408106033978</v>
      </c>
      <c r="Q127" s="156">
        <v>10306.439274214597</v>
      </c>
      <c r="R127" s="156">
        <v>11220.73739125025</v>
      </c>
      <c r="S127" s="156">
        <v>12216.144126361822</v>
      </c>
      <c r="T127" s="156">
        <v>13299.854734361295</v>
      </c>
      <c r="U127" s="156">
        <v>14479.702770811389</v>
      </c>
      <c r="V127" s="156">
        <v>15764.216716545341</v>
      </c>
      <c r="W127" s="156">
        <v>17162.681625424135</v>
      </c>
      <c r="X127" s="156">
        <v>18685.206240949359</v>
      </c>
      <c r="Y127" s="156">
        <v>20342.796066881234</v>
      </c>
      <c r="Z127" s="156">
        <v>22147.432920049629</v>
      </c>
      <c r="AA127" s="156">
        <v>24112.161540402158</v>
      </c>
      <c r="AB127" s="156">
        <v>26251.183884346367</v>
      </c>
      <c r="AC127" s="156">
        <v>28579.961782981351</v>
      </c>
      <c r="AD127" s="156">
        <v>31115.328707279463</v>
      </c>
      <c r="AE127" s="156">
        <v>33875.611448107906</v>
      </c>
      <c r="AF127" s="156">
        <v>36880.762590648999</v>
      </c>
      <c r="AG127" s="156">
        <v>40152.504740804819</v>
      </c>
      <c r="AH127" s="156">
        <v>43714.48754612053</v>
      </c>
      <c r="AI127" s="156">
        <v>47592.458646245432</v>
      </c>
      <c r="AJ127" s="156">
        <v>51814.449788639788</v>
      </c>
      <c r="AK127" s="156">
        <v>56410.979454856817</v>
      </c>
      <c r="AL127" s="156">
        <v>61415.273462075216</v>
      </c>
      <c r="AM127" s="156">
        <v>66863.505134490915</v>
      </c>
      <c r="AN127" s="156">
        <v>72795.05678063666</v>
      </c>
      <c r="AO127" s="156">
        <v>79252.804366706958</v>
      </c>
      <c r="AP127" s="156">
        <v>86283.427443637367</v>
      </c>
      <c r="AQ127" s="156">
        <v>93937.746568232571</v>
      </c>
      <c r="AR127" s="156">
        <v>96617.575363822325</v>
      </c>
    </row>
    <row r="128" spans="1:44" x14ac:dyDescent="0.2">
      <c r="B128" s="157"/>
      <c r="C128" s="158" t="s">
        <v>84</v>
      </c>
      <c r="D128" s="159"/>
      <c r="E128" s="158"/>
      <c r="F128" s="158"/>
      <c r="G128" s="191">
        <v>0</v>
      </c>
      <c r="H128" s="191">
        <v>0</v>
      </c>
      <c r="I128" s="191">
        <v>0</v>
      </c>
      <c r="J128" s="211">
        <v>28715</v>
      </c>
      <c r="K128" s="211">
        <v>309525</v>
      </c>
      <c r="L128" s="191">
        <v>0</v>
      </c>
      <c r="M128" s="191">
        <v>327446.4975</v>
      </c>
      <c r="N128" s="212">
        <v>356261.78928000003</v>
      </c>
      <c r="O128" s="212">
        <v>387866.25270757679</v>
      </c>
      <c r="P128" s="212">
        <v>422274.39067618048</v>
      </c>
      <c r="Q128" s="212">
        <v>459734.92093259451</v>
      </c>
      <c r="R128" s="212">
        <v>500518.6253100927</v>
      </c>
      <c r="S128" s="212">
        <v>544920.30706328608</v>
      </c>
      <c r="T128" s="212">
        <v>593260.921840781</v>
      </c>
      <c r="U128" s="212">
        <v>645889.8976992931</v>
      </c>
      <c r="V128" s="212">
        <v>703187.66092934075</v>
      </c>
      <c r="W128" s="212">
        <v>765568.38595033938</v>
      </c>
      <c r="X128" s="212">
        <v>833482.98915259412</v>
      </c>
      <c r="Y128" s="212">
        <v>907422.38832705212</v>
      </c>
      <c r="Z128" s="212">
        <v>987921.05124345887</v>
      </c>
      <c r="AA128" s="212">
        <v>1075560.8590276665</v>
      </c>
      <c r="AB128" s="212">
        <v>1170975.3122643477</v>
      </c>
      <c r="AC128" s="212">
        <v>1274854.1102287509</v>
      </c>
      <c r="AD128" s="212">
        <v>1387948.1363482738</v>
      </c>
      <c r="AE128" s="212">
        <v>1511074.8859310558</v>
      </c>
      <c r="AF128" s="212">
        <v>1559540.7195040209</v>
      </c>
      <c r="AG128" s="212">
        <v>1568833.0518711156</v>
      </c>
      <c r="AH128" s="212">
        <v>1578949.7195648989</v>
      </c>
      <c r="AI128" s="212">
        <v>1589963.8504830804</v>
      </c>
      <c r="AJ128" s="212">
        <v>1601955.0597977233</v>
      </c>
      <c r="AK128" s="212">
        <v>1615010.0254500948</v>
      </c>
      <c r="AL128" s="212">
        <v>1629223.1146984389</v>
      </c>
      <c r="AM128" s="212">
        <v>1644697.066247649</v>
      </c>
      <c r="AN128" s="212">
        <v>1661543.7328915806</v>
      </c>
      <c r="AO128" s="212">
        <v>1679884.890036165</v>
      </c>
      <c r="AP128" s="212">
        <v>1699853.1159477003</v>
      </c>
      <c r="AQ128" s="212">
        <v>1721592.7500891506</v>
      </c>
      <c r="AR128" s="212">
        <v>1739607.4211781963</v>
      </c>
    </row>
    <row r="129" spans="1:44" x14ac:dyDescent="0.2">
      <c r="B129" s="154"/>
      <c r="D129" s="155"/>
      <c r="G129" s="154"/>
      <c r="H129" s="154"/>
      <c r="I129" s="154"/>
      <c r="J129" s="154"/>
      <c r="K129" s="154"/>
      <c r="L129" s="206"/>
      <c r="W129" s="172"/>
    </row>
    <row r="130" spans="1:44" x14ac:dyDescent="0.2">
      <c r="B130" s="139"/>
      <c r="C130" s="140" t="s">
        <v>248</v>
      </c>
      <c r="D130" s="141"/>
      <c r="E130" s="140"/>
      <c r="F130" s="140"/>
      <c r="G130" s="142"/>
      <c r="H130" s="142"/>
      <c r="I130" s="139"/>
      <c r="J130" s="139"/>
      <c r="K130" s="139"/>
      <c r="L130" s="143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0"/>
      <c r="X130" s="144"/>
      <c r="Y130" s="144"/>
      <c r="Z130" s="144"/>
      <c r="AA130" s="144"/>
      <c r="AB130" s="144"/>
      <c r="AC130" s="144"/>
      <c r="AD130" s="144"/>
      <c r="AE130" s="144"/>
      <c r="AF130" s="144"/>
      <c r="AG130" s="144"/>
      <c r="AH130" s="144"/>
      <c r="AI130" s="144"/>
      <c r="AJ130" s="144"/>
      <c r="AK130" s="144"/>
      <c r="AL130" s="144"/>
      <c r="AM130" s="144"/>
      <c r="AN130" s="144"/>
      <c r="AO130" s="144"/>
      <c r="AP130" s="144"/>
      <c r="AQ130" s="144"/>
      <c r="AR130" s="144"/>
    </row>
    <row r="131" spans="1:44" x14ac:dyDescent="0.2">
      <c r="A131" s="145"/>
      <c r="B131" s="146"/>
      <c r="C131" s="146" t="s">
        <v>218</v>
      </c>
      <c r="D131" s="147" t="s">
        <v>219</v>
      </c>
      <c r="E131" s="146"/>
      <c r="F131" s="146"/>
      <c r="G131" s="148">
        <v>2019</v>
      </c>
      <c r="H131" s="148">
        <v>2020</v>
      </c>
      <c r="I131" s="148">
        <v>2021</v>
      </c>
      <c r="J131" s="148">
        <v>2022</v>
      </c>
      <c r="K131" s="148">
        <v>2023</v>
      </c>
      <c r="L131" s="149">
        <v>45352</v>
      </c>
      <c r="M131" s="148">
        <v>2024</v>
      </c>
      <c r="N131" s="146">
        <v>2025</v>
      </c>
      <c r="O131" s="146">
        <v>2026</v>
      </c>
      <c r="P131" s="146">
        <v>2027</v>
      </c>
      <c r="Q131" s="146">
        <v>2028</v>
      </c>
      <c r="R131" s="146">
        <v>2029</v>
      </c>
      <c r="S131" s="146">
        <v>2030</v>
      </c>
      <c r="T131" s="146">
        <v>2031</v>
      </c>
      <c r="U131" s="146">
        <v>2032</v>
      </c>
      <c r="V131" s="146">
        <v>2033</v>
      </c>
      <c r="W131" s="146">
        <v>2034</v>
      </c>
      <c r="X131" s="146">
        <v>2035</v>
      </c>
      <c r="Y131" s="146">
        <v>2036</v>
      </c>
      <c r="Z131" s="146">
        <v>2037</v>
      </c>
      <c r="AA131" s="146">
        <v>2038</v>
      </c>
      <c r="AB131" s="146">
        <v>2039</v>
      </c>
      <c r="AC131" s="146">
        <v>2040</v>
      </c>
      <c r="AD131" s="146">
        <v>2041</v>
      </c>
      <c r="AE131" s="146">
        <v>2042</v>
      </c>
      <c r="AF131" s="146">
        <v>2043</v>
      </c>
      <c r="AG131" s="146">
        <v>2044</v>
      </c>
      <c r="AH131" s="146">
        <v>2045</v>
      </c>
      <c r="AI131" s="146">
        <v>2046</v>
      </c>
      <c r="AJ131" s="146">
        <v>2047</v>
      </c>
      <c r="AK131" s="146">
        <v>2048</v>
      </c>
      <c r="AL131" s="146">
        <v>2049</v>
      </c>
      <c r="AM131" s="146">
        <v>2050</v>
      </c>
      <c r="AN131" s="146">
        <v>2051</v>
      </c>
      <c r="AO131" s="146">
        <v>2052</v>
      </c>
      <c r="AP131" s="146">
        <v>2053</v>
      </c>
      <c r="AQ131" s="146">
        <v>2054</v>
      </c>
      <c r="AR131" s="146">
        <v>2055</v>
      </c>
    </row>
    <row r="132" spans="1:44" x14ac:dyDescent="0.2">
      <c r="A132" s="184"/>
      <c r="B132" s="185"/>
      <c r="C132" s="185"/>
      <c r="D132" s="186"/>
      <c r="E132" s="185"/>
      <c r="F132" s="185"/>
      <c r="G132" s="185"/>
      <c r="H132" s="185"/>
      <c r="I132" s="185"/>
      <c r="J132" s="185"/>
      <c r="K132" s="185"/>
      <c r="L132" s="185"/>
      <c r="M132" s="185"/>
      <c r="N132" s="185"/>
      <c r="O132" s="185"/>
      <c r="P132" s="185"/>
      <c r="Q132" s="185"/>
      <c r="R132" s="185"/>
      <c r="S132" s="185"/>
      <c r="T132" s="185"/>
      <c r="U132" s="185"/>
      <c r="V132" s="185"/>
      <c r="W132" s="185"/>
      <c r="X132" s="185"/>
      <c r="Y132" s="185"/>
      <c r="Z132" s="185"/>
      <c r="AA132" s="185"/>
      <c r="AB132" s="185"/>
      <c r="AC132" s="185"/>
      <c r="AD132" s="185"/>
      <c r="AE132" s="185"/>
      <c r="AF132" s="185"/>
      <c r="AG132" s="185"/>
      <c r="AH132" s="185"/>
      <c r="AI132" s="185"/>
      <c r="AJ132" s="185"/>
      <c r="AK132" s="185"/>
      <c r="AL132" s="185"/>
      <c r="AM132" s="185"/>
      <c r="AN132" s="185"/>
      <c r="AO132" s="185"/>
      <c r="AP132" s="185"/>
      <c r="AQ132" s="185"/>
      <c r="AR132" s="185"/>
    </row>
    <row r="133" spans="1:44" x14ac:dyDescent="0.2">
      <c r="B133" s="154">
        <v>1</v>
      </c>
      <c r="C133" s="137" t="s">
        <v>220</v>
      </c>
      <c r="D133" s="155" t="s">
        <v>221</v>
      </c>
      <c r="G133" s="156">
        <v>0</v>
      </c>
      <c r="H133" s="156">
        <v>0</v>
      </c>
      <c r="I133" s="156">
        <v>0</v>
      </c>
      <c r="J133" s="210">
        <v>0</v>
      </c>
      <c r="K133" s="210">
        <v>1527</v>
      </c>
      <c r="L133" s="156">
        <v>0</v>
      </c>
      <c r="M133" s="156">
        <v>1658.4262929309828</v>
      </c>
      <c r="N133" s="156">
        <v>1801.1642233692219</v>
      </c>
      <c r="O133" s="156">
        <v>1956.1873647165232</v>
      </c>
      <c r="P133" s="156">
        <v>2124.5530841815662</v>
      </c>
      <c r="Q133" s="156">
        <v>2307.4097547703477</v>
      </c>
      <c r="R133" s="156">
        <v>2506.0045880003768</v>
      </c>
      <c r="S133" s="156">
        <v>2721.6921407632608</v>
      </c>
      <c r="T133" s="156">
        <v>2955.9435543584837</v>
      </c>
      <c r="U133" s="156">
        <v>3210.3565887151099</v>
      </c>
      <c r="V133" s="156">
        <v>3486.6665202418826</v>
      </c>
      <c r="W133" s="156">
        <v>3786.7579776367479</v>
      </c>
      <c r="X133" s="156">
        <v>4112.6777963843724</v>
      </c>
      <c r="Y133" s="156">
        <v>4466.6489796184005</v>
      </c>
      <c r="Z133" s="156">
        <v>4851.085860571382</v>
      </c>
      <c r="AA133" s="156">
        <v>5268.6105700309772</v>
      </c>
      <c r="AB133" s="156">
        <v>5722.0709211221119</v>
      </c>
      <c r="AC133" s="156">
        <v>6214.5598334019105</v>
      </c>
      <c r="AD133" s="156">
        <v>6749.4364287534481</v>
      </c>
      <c r="AE133" s="156">
        <v>7330.3489429671981</v>
      </c>
      <c r="AF133" s="156">
        <v>7961.2596092833255</v>
      </c>
      <c r="AG133" s="156">
        <v>8646.4716836181451</v>
      </c>
      <c r="AH133" s="156">
        <v>9390.6587958058626</v>
      </c>
      <c r="AI133" s="156">
        <v>10198.896827051763</v>
      </c>
      <c r="AJ133" s="156">
        <v>11076.698531023587</v>
      </c>
      <c r="AK133" s="156">
        <v>12030.051134721354</v>
      </c>
      <c r="AL133" s="156">
        <v>13065.457175590109</v>
      </c>
      <c r="AM133" s="156">
        <v>14189.978853413497</v>
      </c>
      <c r="AN133" s="156">
        <v>15411.286199499398</v>
      </c>
      <c r="AO133" s="156">
        <v>16737.709391705434</v>
      </c>
      <c r="AP133" s="156">
        <v>18178.295572129755</v>
      </c>
      <c r="AQ133" s="156">
        <v>19742.870555003828</v>
      </c>
      <c r="AR133" s="156">
        <v>21442.10584567862</v>
      </c>
    </row>
    <row r="134" spans="1:44" x14ac:dyDescent="0.2">
      <c r="B134" s="154">
        <v>2</v>
      </c>
      <c r="C134" s="137" t="s">
        <v>222</v>
      </c>
      <c r="D134" s="155" t="s">
        <v>223</v>
      </c>
      <c r="G134" s="156">
        <v>0</v>
      </c>
      <c r="H134" s="156">
        <v>0</v>
      </c>
      <c r="I134" s="156">
        <v>0</v>
      </c>
      <c r="J134" s="210">
        <v>1395</v>
      </c>
      <c r="K134" s="210">
        <v>201</v>
      </c>
      <c r="L134" s="156">
        <v>0</v>
      </c>
      <c r="M134" s="156">
        <v>218.29972814612148</v>
      </c>
      <c r="N134" s="156">
        <v>237.08841447099775</v>
      </c>
      <c r="O134" s="156">
        <v>257.49421107270541</v>
      </c>
      <c r="P134" s="156">
        <v>279.65629988244586</v>
      </c>
      <c r="Q134" s="156">
        <v>303.7258419835232</v>
      </c>
      <c r="R134" s="156">
        <v>329.86700863659189</v>
      </c>
      <c r="S134" s="156">
        <v>358.25810104349415</v>
      </c>
      <c r="T134" s="156">
        <v>389.09276648726615</v>
      </c>
      <c r="U134" s="156">
        <v>422.58131914324639</v>
      </c>
      <c r="V134" s="156">
        <v>458.95217457014968</v>
      </c>
      <c r="W134" s="156">
        <v>498.4534076653481</v>
      </c>
      <c r="X134" s="156">
        <v>541.35444471071321</v>
      </c>
      <c r="Y134" s="156">
        <v>587.94790104996639</v>
      </c>
      <c r="Z134" s="156">
        <v>638.55157693179308</v>
      </c>
      <c r="AA134" s="156">
        <v>693.51062513177919</v>
      </c>
      <c r="AB134" s="156">
        <v>753.19990513788139</v>
      </c>
      <c r="AC134" s="156">
        <v>818.02653995663684</v>
      </c>
      <c r="AD134" s="156">
        <v>888.43269297933432</v>
      </c>
      <c r="AE134" s="156">
        <v>964.89858384833485</v>
      </c>
      <c r="AF134" s="156">
        <v>1047.9457638938761</v>
      </c>
      <c r="AG134" s="156">
        <v>1138.140673482153</v>
      </c>
      <c r="AH134" s="156">
        <v>1236.0985055382966</v>
      </c>
      <c r="AI134" s="156">
        <v>1342.487401596205</v>
      </c>
      <c r="AJ134" s="156">
        <v>1458.0330089952467</v>
      </c>
      <c r="AK134" s="156">
        <v>1583.5234303071336</v>
      </c>
      <c r="AL134" s="156">
        <v>1719.8145987515475</v>
      </c>
      <c r="AM134" s="156">
        <v>1867.8361162646459</v>
      </c>
      <c r="AN134" s="156">
        <v>2028.5975940401968</v>
      </c>
      <c r="AO134" s="156">
        <v>2203.195538790304</v>
      </c>
      <c r="AP134" s="156">
        <v>2392.8208316948808</v>
      </c>
      <c r="AQ134" s="156">
        <v>2598.7668510515859</v>
      </c>
      <c r="AR134" s="156">
        <v>2822.4382940284249</v>
      </c>
    </row>
    <row r="135" spans="1:44" x14ac:dyDescent="0.2">
      <c r="B135" s="154">
        <v>3</v>
      </c>
      <c r="C135" s="137" t="s">
        <v>224</v>
      </c>
      <c r="D135" s="155" t="s">
        <v>225</v>
      </c>
      <c r="G135" s="156">
        <v>0</v>
      </c>
      <c r="H135" s="156">
        <v>0</v>
      </c>
      <c r="I135" s="156">
        <v>0</v>
      </c>
      <c r="J135" s="210">
        <v>0</v>
      </c>
      <c r="K135" s="210">
        <v>0</v>
      </c>
      <c r="L135" s="156">
        <v>0</v>
      </c>
      <c r="M135" s="156">
        <v>0</v>
      </c>
      <c r="N135" s="156">
        <v>0</v>
      </c>
      <c r="O135" s="156">
        <v>0</v>
      </c>
      <c r="P135" s="156">
        <v>0</v>
      </c>
      <c r="Q135" s="156">
        <v>0</v>
      </c>
      <c r="R135" s="156">
        <v>0</v>
      </c>
      <c r="S135" s="156">
        <v>0</v>
      </c>
      <c r="T135" s="156">
        <v>0</v>
      </c>
      <c r="U135" s="156">
        <v>0</v>
      </c>
      <c r="V135" s="156">
        <v>0</v>
      </c>
      <c r="W135" s="156">
        <v>0</v>
      </c>
      <c r="X135" s="156">
        <v>0</v>
      </c>
      <c r="Y135" s="156">
        <v>0</v>
      </c>
      <c r="Z135" s="156">
        <v>0</v>
      </c>
      <c r="AA135" s="156">
        <v>0</v>
      </c>
      <c r="AB135" s="156">
        <v>0</v>
      </c>
      <c r="AC135" s="156">
        <v>0</v>
      </c>
      <c r="AD135" s="156">
        <v>0</v>
      </c>
      <c r="AE135" s="156">
        <v>0</v>
      </c>
      <c r="AF135" s="156">
        <v>0</v>
      </c>
      <c r="AG135" s="156">
        <v>0</v>
      </c>
      <c r="AH135" s="156">
        <v>0</v>
      </c>
      <c r="AI135" s="156">
        <v>0</v>
      </c>
      <c r="AJ135" s="156">
        <v>0</v>
      </c>
      <c r="AK135" s="156">
        <v>0</v>
      </c>
      <c r="AL135" s="156">
        <v>0</v>
      </c>
      <c r="AM135" s="156">
        <v>0</v>
      </c>
      <c r="AN135" s="156">
        <v>0</v>
      </c>
      <c r="AO135" s="156">
        <v>0</v>
      </c>
      <c r="AP135" s="156">
        <v>0</v>
      </c>
      <c r="AQ135" s="156">
        <v>0</v>
      </c>
      <c r="AR135" s="156">
        <v>0</v>
      </c>
    </row>
    <row r="136" spans="1:44" x14ac:dyDescent="0.2">
      <c r="B136" s="154">
        <v>4</v>
      </c>
      <c r="C136" s="137" t="s">
        <v>226</v>
      </c>
      <c r="D136" s="155" t="s">
        <v>227</v>
      </c>
      <c r="G136" s="156">
        <v>0</v>
      </c>
      <c r="H136" s="156">
        <v>0</v>
      </c>
      <c r="I136" s="156">
        <v>0</v>
      </c>
      <c r="J136" s="210">
        <v>18288</v>
      </c>
      <c r="K136" s="210">
        <v>18547</v>
      </c>
      <c r="L136" s="156">
        <v>0</v>
      </c>
      <c r="M136" s="156">
        <v>20143.308745901071</v>
      </c>
      <c r="N136" s="156">
        <v>21877.009070614902</v>
      </c>
      <c r="O136" s="156">
        <v>23759.926033659041</v>
      </c>
      <c r="P136" s="156">
        <v>25804.902457312055</v>
      </c>
      <c r="Q136" s="156">
        <v>28025.886523723402</v>
      </c>
      <c r="R136" s="156">
        <v>30438.026911357556</v>
      </c>
      <c r="S136" s="156">
        <v>33057.776119670074</v>
      </c>
      <c r="T136" s="156">
        <v>35903.002686762804</v>
      </c>
      <c r="U136" s="156">
        <v>38993.113065421836</v>
      </c>
      <c r="V136" s="156">
        <v>42349.183988818731</v>
      </c>
      <c r="W136" s="156">
        <v>45994.106228702534</v>
      </c>
      <c r="X136" s="156">
        <v>49952.740726614909</v>
      </c>
      <c r="Y136" s="156">
        <v>54252.088163053362</v>
      </c>
      <c r="Z136" s="156">
        <v>58921.473121164003</v>
      </c>
      <c r="AA136" s="156">
        <v>63992.74410109008</v>
      </c>
      <c r="AB136" s="156">
        <v>69500.490749215343</v>
      </c>
      <c r="AC136" s="156">
        <v>75482.279783958904</v>
      </c>
      <c r="AD136" s="156">
        <v>81978.911227302044</v>
      </c>
      <c r="AE136" s="156">
        <v>89034.696689726683</v>
      </c>
      <c r="AF136" s="156">
        <v>96697.761606665255</v>
      </c>
      <c r="AG136" s="156">
        <v>105020.37348792781</v>
      </c>
      <c r="AH136" s="156">
        <v>114059.29841899892</v>
      </c>
      <c r="AI136" s="156">
        <v>123876.18824579507</v>
      </c>
      <c r="AJ136" s="156">
        <v>134538.0010837554</v>
      </c>
      <c r="AK136" s="156">
        <v>146117.45801943482</v>
      </c>
      <c r="AL136" s="156">
        <v>158693.53911962657</v>
      </c>
      <c r="AM136" s="156">
        <v>172352.02213114614</v>
      </c>
      <c r="AN136" s="156">
        <v>187186.06754558964</v>
      </c>
      <c r="AO136" s="156">
        <v>203296.85401962066</v>
      </c>
      <c r="AP136" s="156">
        <v>220794.26848480068</v>
      </c>
      <c r="AQ136" s="156">
        <v>239797.65565399875</v>
      </c>
      <c r="AR136" s="156">
        <v>260436.63203654319</v>
      </c>
    </row>
    <row r="137" spans="1:44" x14ac:dyDescent="0.2">
      <c r="B137" s="154">
        <v>5</v>
      </c>
      <c r="C137" s="137" t="s">
        <v>228</v>
      </c>
      <c r="D137" s="155" t="s">
        <v>221</v>
      </c>
      <c r="G137" s="156">
        <v>0</v>
      </c>
      <c r="H137" s="156">
        <v>0</v>
      </c>
      <c r="I137" s="156">
        <v>0</v>
      </c>
      <c r="J137" s="210">
        <v>0</v>
      </c>
      <c r="K137" s="210">
        <v>3575</v>
      </c>
      <c r="L137" s="156">
        <v>0</v>
      </c>
      <c r="M137" s="156">
        <v>3882.6941697631059</v>
      </c>
      <c r="N137" s="156">
        <v>4216.8710534020738</v>
      </c>
      <c r="O137" s="156">
        <v>4579.8099730593121</v>
      </c>
      <c r="P137" s="156">
        <v>4973.9864282574317</v>
      </c>
      <c r="Q137" s="156">
        <v>5402.0889805527122</v>
      </c>
      <c r="R137" s="156">
        <v>5867.0375914219685</v>
      </c>
      <c r="S137" s="156">
        <v>6372.0035384601551</v>
      </c>
      <c r="T137" s="156">
        <v>6920.431045731224</v>
      </c>
      <c r="U137" s="156">
        <v>7516.0607758064943</v>
      </c>
      <c r="V137" s="156">
        <v>8162.9553437228096</v>
      </c>
      <c r="W137" s="156">
        <v>8865.5270268836775</v>
      </c>
      <c r="X137" s="156">
        <v>9628.567859904475</v>
      </c>
      <c r="Y137" s="156">
        <v>10457.282319669799</v>
      </c>
      <c r="Z137" s="156">
        <v>11357.322823538108</v>
      </c>
      <c r="AA137" s="156">
        <v>12334.828282816468</v>
      </c>
      <c r="AB137" s="156">
        <v>13396.465974467292</v>
      </c>
      <c r="AC137" s="156">
        <v>14549.477016641673</v>
      </c>
      <c r="AD137" s="156">
        <v>15801.725758214527</v>
      </c>
      <c r="AE137" s="156">
        <v>17161.753419193017</v>
      </c>
      <c r="AF137" s="156">
        <v>18638.836347863715</v>
      </c>
      <c r="AG137" s="156">
        <v>20243.049292033316</v>
      </c>
      <c r="AH137" s="156">
        <v>21985.334115917463</v>
      </c>
      <c r="AI137" s="156">
        <v>23877.574431375288</v>
      </c>
      <c r="AJ137" s="156">
        <v>25932.676652527396</v>
      </c>
      <c r="AK137" s="156">
        <v>28164.658026606976</v>
      </c>
      <c r="AL137" s="156">
        <v>30588.742241476524</v>
      </c>
      <c r="AM137" s="156">
        <v>33221.463261920937</v>
      </c>
      <c r="AN137" s="156">
        <v>36080.778102953744</v>
      </c>
      <c r="AO137" s="156">
        <v>39186.189309330024</v>
      </c>
      <c r="AP137" s="156">
        <v>42558.877976662669</v>
      </c>
      <c r="AQ137" s="156">
        <v>46221.84822143989</v>
      </c>
      <c r="AR137" s="156">
        <v>50200.084085331429</v>
      </c>
    </row>
    <row r="138" spans="1:44" x14ac:dyDescent="0.2">
      <c r="B138" s="154">
        <v>6</v>
      </c>
      <c r="C138" s="137" t="s">
        <v>229</v>
      </c>
      <c r="D138" s="155" t="s">
        <v>230</v>
      </c>
      <c r="G138" s="156">
        <v>0</v>
      </c>
      <c r="H138" s="156">
        <v>0</v>
      </c>
      <c r="I138" s="156">
        <v>0</v>
      </c>
      <c r="J138" s="210">
        <v>293451</v>
      </c>
      <c r="K138" s="210">
        <v>413555</v>
      </c>
      <c r="L138" s="156">
        <v>0</v>
      </c>
      <c r="M138" s="156">
        <v>449148.9754898969</v>
      </c>
      <c r="N138" s="156">
        <v>487806.46391320135</v>
      </c>
      <c r="O138" s="156">
        <v>529791.13661777449</v>
      </c>
      <c r="P138" s="156">
        <v>575389.35869594465</v>
      </c>
      <c r="Q138" s="156">
        <v>624912.14219649707</v>
      </c>
      <c r="R138" s="156">
        <v>678697.2674462971</v>
      </c>
      <c r="S138" s="156">
        <v>737111.58695045859</v>
      </c>
      <c r="T138" s="156">
        <v>800553.52758528013</v>
      </c>
      <c r="U138" s="156">
        <v>869455.8081506727</v>
      </c>
      <c r="V138" s="156">
        <v>944288.39081770252</v>
      </c>
      <c r="W138" s="156">
        <v>1025561.6866022039</v>
      </c>
      <c r="X138" s="156">
        <v>1113830.0367280545</v>
      </c>
      <c r="Y138" s="156">
        <v>1209695.4936254667</v>
      </c>
      <c r="Z138" s="156">
        <v>1313811.9273533712</v>
      </c>
      <c r="AA138" s="156">
        <v>1426889.4854545912</v>
      </c>
      <c r="AB138" s="156">
        <v>1549699.4366631664</v>
      </c>
      <c r="AC138" s="156">
        <v>1683079.4315013275</v>
      </c>
      <c r="AD138" s="156">
        <v>1827939.215647107</v>
      </c>
      <c r="AE138" s="156">
        <v>1985266.8350417812</v>
      </c>
      <c r="AF138" s="156">
        <v>2051243.0934231237</v>
      </c>
      <c r="AG138" s="156">
        <v>2051243.0934231237</v>
      </c>
      <c r="AH138" s="156">
        <v>2051243.0934231237</v>
      </c>
      <c r="AI138" s="156">
        <v>2051243.0934231237</v>
      </c>
      <c r="AJ138" s="156">
        <v>2051243.0934231237</v>
      </c>
      <c r="AK138" s="156">
        <v>2051243.0934231237</v>
      </c>
      <c r="AL138" s="156">
        <v>2051243.0934231237</v>
      </c>
      <c r="AM138" s="156">
        <v>2051243.0934231237</v>
      </c>
      <c r="AN138" s="156">
        <v>2051243.0934231237</v>
      </c>
      <c r="AO138" s="156">
        <v>2051243.0934231237</v>
      </c>
      <c r="AP138" s="156">
        <v>2051243.0934231237</v>
      </c>
      <c r="AQ138" s="156">
        <v>2051243.0934231237</v>
      </c>
      <c r="AR138" s="156">
        <v>2051243.0934231237</v>
      </c>
    </row>
    <row r="139" spans="1:44" x14ac:dyDescent="0.2">
      <c r="B139" s="154">
        <v>7</v>
      </c>
      <c r="C139" s="137" t="s">
        <v>231</v>
      </c>
      <c r="D139" s="155" t="s">
        <v>225</v>
      </c>
      <c r="G139" s="156">
        <v>0</v>
      </c>
      <c r="H139" s="156">
        <v>0</v>
      </c>
      <c r="I139" s="156">
        <v>0</v>
      </c>
      <c r="J139" s="210">
        <v>1027</v>
      </c>
      <c r="K139" s="210">
        <v>1131</v>
      </c>
      <c r="L139" s="156">
        <v>0</v>
      </c>
      <c r="M139" s="156">
        <v>1131</v>
      </c>
      <c r="N139" s="156">
        <v>1228.3432464341463</v>
      </c>
      <c r="O139" s="156">
        <v>1334.064660530838</v>
      </c>
      <c r="P139" s="156">
        <v>1448.8853369314913</v>
      </c>
      <c r="Q139" s="156">
        <v>1573.5884336668964</v>
      </c>
      <c r="R139" s="156">
        <v>1709.0245138475852</v>
      </c>
      <c r="S139" s="156">
        <v>1856.1173471044044</v>
      </c>
      <c r="T139" s="156">
        <v>2015.8702103492124</v>
      </c>
      <c r="U139" s="156">
        <v>2189.3727308313323</v>
      </c>
      <c r="V139" s="156">
        <v>2377.808318164236</v>
      </c>
      <c r="W139" s="156">
        <v>2582.4622360141248</v>
      </c>
      <c r="X139" s="156">
        <v>2804.7303685050174</v>
      </c>
      <c r="Y139" s="156">
        <v>3046.1287411334151</v>
      </c>
      <c r="Z139" s="156">
        <v>3308.3038611318993</v>
      </c>
      <c r="AA139" s="156">
        <v>3593.0439478102371</v>
      </c>
      <c r="AB139" s="156">
        <v>3902.2911294728451</v>
      </c>
      <c r="AC139" s="156">
        <v>4238.1546901041966</v>
      </c>
      <c r="AD139" s="156">
        <v>4602.9254561739099</v>
      </c>
      <c r="AE139" s="156">
        <v>4999.0914216896854</v>
      </c>
      <c r="AF139" s="156">
        <v>5429.3547180719715</v>
      </c>
      <c r="AG139" s="156">
        <v>5896.6500445968832</v>
      </c>
      <c r="AH139" s="156">
        <v>6404.164685115994</v>
      </c>
      <c r="AI139" s="156">
        <v>6955.3602475811604</v>
      </c>
      <c r="AJ139" s="156">
        <v>7553.996274653271</v>
      </c>
      <c r="AK139" s="156">
        <v>8204.1558864359376</v>
      </c>
      <c r="AL139" s="156">
        <v>8910.2736302356589</v>
      </c>
      <c r="AM139" s="156">
        <v>9677.1657273034798</v>
      </c>
      <c r="AN139" s="156">
        <v>10510.062922862257</v>
      </c>
      <c r="AO139" s="156">
        <v>11414.646163479909</v>
      </c>
      <c r="AP139" s="156">
        <v>12397.085345133497</v>
      </c>
      <c r="AQ139" s="156">
        <v>13464.081396253279</v>
      </c>
      <c r="AR139" s="156">
        <v>14622.9119827828</v>
      </c>
    </row>
    <row r="140" spans="1:44" x14ac:dyDescent="0.2">
      <c r="B140" s="154">
        <v>8</v>
      </c>
      <c r="C140" s="137" t="s">
        <v>232</v>
      </c>
      <c r="D140" s="155" t="s">
        <v>233</v>
      </c>
      <c r="G140" s="156">
        <v>0</v>
      </c>
      <c r="H140" s="156">
        <v>0</v>
      </c>
      <c r="I140" s="156">
        <v>0</v>
      </c>
      <c r="J140" s="210">
        <v>127347</v>
      </c>
      <c r="K140" s="210">
        <v>137867</v>
      </c>
      <c r="L140" s="156">
        <v>0</v>
      </c>
      <c r="M140" s="156">
        <v>149732.97821055388</v>
      </c>
      <c r="N140" s="156">
        <v>162620.24098444299</v>
      </c>
      <c r="O140" s="156">
        <v>176616.68854706801</v>
      </c>
      <c r="P140" s="156">
        <v>191817.78654673212</v>
      </c>
      <c r="Q140" s="156">
        <v>208327.21719772331</v>
      </c>
      <c r="R140" s="156">
        <v>226257.58646617414</v>
      </c>
      <c r="S140" s="156">
        <v>245731.19212220592</v>
      </c>
      <c r="T140" s="156">
        <v>266880.85789701442</v>
      </c>
      <c r="U140" s="156">
        <v>289850.83943443745</v>
      </c>
      <c r="V140" s="156">
        <v>314797.80821623286</v>
      </c>
      <c r="W140" s="156">
        <v>341891.92017213197</v>
      </c>
      <c r="X140" s="156">
        <v>371317.97626334266</v>
      </c>
      <c r="Y140" s="156">
        <v>403276.68295550096</v>
      </c>
      <c r="Z140" s="156">
        <v>437986.02117838548</v>
      </c>
      <c r="AA140" s="156">
        <v>475682.73310966644</v>
      </c>
      <c r="AB140" s="156">
        <v>516623.93692360324</v>
      </c>
      <c r="AC140" s="156">
        <v>561088.88051841594</v>
      </c>
      <c r="AD140" s="156">
        <v>609380.84618398931</v>
      </c>
      <c r="AE140" s="156">
        <v>661829.21920108632</v>
      </c>
      <c r="AF140" s="156">
        <v>718791.73448137811</v>
      </c>
      <c r="AG140" s="156">
        <v>780656.91657196009</v>
      </c>
      <c r="AH140" s="156">
        <v>847846.72966690711</v>
      </c>
      <c r="AI140" s="156">
        <v>920819.45570081577</v>
      </c>
      <c r="AJ140" s="156">
        <v>1000072.8201549634</v>
      </c>
      <c r="AK140" s="156">
        <v>1086147.3868962864</v>
      </c>
      <c r="AL140" s="156">
        <v>1179630.2452043758</v>
      </c>
      <c r="AM140" s="156">
        <v>1281159.0141346164</v>
      </c>
      <c r="AN140" s="156">
        <v>1391426.1915300486</v>
      </c>
      <c r="AO140" s="156">
        <v>1511183.8773452875</v>
      </c>
      <c r="AP140" s="156">
        <v>1641248.9034988957</v>
      </c>
      <c r="AQ140" s="156">
        <v>1782508.4052434275</v>
      </c>
      <c r="AR140" s="156">
        <v>1842293.4472125389</v>
      </c>
    </row>
    <row r="141" spans="1:44" x14ac:dyDescent="0.2">
      <c r="B141" s="157"/>
      <c r="C141" s="158" t="s">
        <v>84</v>
      </c>
      <c r="D141" s="159"/>
      <c r="E141" s="158"/>
      <c r="F141" s="158"/>
      <c r="G141" s="191">
        <v>0</v>
      </c>
      <c r="H141" s="191">
        <v>0</v>
      </c>
      <c r="I141" s="191">
        <v>0</v>
      </c>
      <c r="J141" s="211">
        <v>441508</v>
      </c>
      <c r="K141" s="211">
        <v>576403</v>
      </c>
      <c r="L141" s="191">
        <v>0</v>
      </c>
      <c r="M141" s="191">
        <v>625915.68263719208</v>
      </c>
      <c r="N141" s="212">
        <v>679787.1809059357</v>
      </c>
      <c r="O141" s="212">
        <v>738295.30740788102</v>
      </c>
      <c r="P141" s="212">
        <v>801839.12884924165</v>
      </c>
      <c r="Q141" s="212">
        <v>870852.05892891728</v>
      </c>
      <c r="R141" s="212">
        <v>945804.81452573522</v>
      </c>
      <c r="S141" s="212">
        <v>1027208.6263197057</v>
      </c>
      <c r="T141" s="212">
        <v>1115618.7257459834</v>
      </c>
      <c r="U141" s="212">
        <v>1211638.1320650282</v>
      </c>
      <c r="V141" s="212">
        <v>1315921.7653794531</v>
      </c>
      <c r="W141" s="212">
        <v>1429180.9136512382</v>
      </c>
      <c r="X141" s="212">
        <v>1552188.0841875167</v>
      </c>
      <c r="Y141" s="212">
        <v>1685782.2726854926</v>
      </c>
      <c r="Z141" s="212">
        <v>1830874.6857750937</v>
      </c>
      <c r="AA141" s="212">
        <v>1988454.9560911374</v>
      </c>
      <c r="AB141" s="212">
        <v>2159597.892266185</v>
      </c>
      <c r="AC141" s="212">
        <v>2345470.8098838069</v>
      </c>
      <c r="AD141" s="212">
        <v>2547341.4933945197</v>
      </c>
      <c r="AE141" s="212">
        <v>2766586.8433002923</v>
      </c>
      <c r="AF141" s="212">
        <v>2899809.98595028</v>
      </c>
      <c r="AG141" s="212">
        <v>2972844.695176742</v>
      </c>
      <c r="AH141" s="212">
        <v>3052165.3776114071</v>
      </c>
      <c r="AI141" s="212">
        <v>3138313.0562773389</v>
      </c>
      <c r="AJ141" s="212">
        <v>3231875.3191290423</v>
      </c>
      <c r="AK141" s="212">
        <v>3333490.3268169165</v>
      </c>
      <c r="AL141" s="212">
        <v>3443851.1653931802</v>
      </c>
      <c r="AM141" s="212">
        <v>3563710.5736477887</v>
      </c>
      <c r="AN141" s="212">
        <v>3693886.077318118</v>
      </c>
      <c r="AO141" s="212">
        <v>3835265.5651913378</v>
      </c>
      <c r="AP141" s="212">
        <v>3988813.3451324413</v>
      </c>
      <c r="AQ141" s="212">
        <v>4155576.7213442987</v>
      </c>
      <c r="AR141" s="212">
        <v>4243060.7128800265</v>
      </c>
    </row>
    <row r="142" spans="1:44" x14ac:dyDescent="0.2">
      <c r="B142" s="154"/>
      <c r="D142" s="155"/>
      <c r="G142" s="154"/>
      <c r="H142" s="154"/>
      <c r="I142" s="154"/>
      <c r="J142" s="154"/>
      <c r="K142" s="154"/>
      <c r="L142" s="206"/>
      <c r="S142" s="213"/>
      <c r="W142" s="172"/>
      <c r="AR142" s="213"/>
    </row>
    <row r="143" spans="1:44" x14ac:dyDescent="0.2">
      <c r="B143" s="139"/>
      <c r="C143" s="140" t="s">
        <v>249</v>
      </c>
      <c r="D143" s="141"/>
      <c r="E143" s="140"/>
      <c r="F143" s="140"/>
      <c r="G143" s="142"/>
      <c r="H143" s="142"/>
      <c r="I143" s="139"/>
      <c r="J143" s="139"/>
      <c r="K143" s="139"/>
      <c r="L143" s="143"/>
      <c r="M143" s="144"/>
      <c r="N143" s="144"/>
      <c r="O143" s="144"/>
      <c r="P143" s="144"/>
      <c r="Q143" s="144"/>
      <c r="R143" s="144"/>
      <c r="S143" s="144"/>
      <c r="T143" s="144"/>
      <c r="U143" s="144"/>
      <c r="V143" s="144"/>
      <c r="W143" s="140"/>
      <c r="X143" s="144"/>
      <c r="Y143" s="144"/>
      <c r="Z143" s="144"/>
      <c r="AA143" s="144"/>
      <c r="AB143" s="144"/>
      <c r="AC143" s="144"/>
      <c r="AD143" s="144"/>
      <c r="AE143" s="144"/>
      <c r="AF143" s="144"/>
      <c r="AG143" s="144"/>
      <c r="AH143" s="144"/>
      <c r="AI143" s="144"/>
      <c r="AJ143" s="144"/>
      <c r="AK143" s="144"/>
      <c r="AL143" s="144"/>
      <c r="AM143" s="144"/>
      <c r="AN143" s="144"/>
      <c r="AO143" s="144"/>
      <c r="AP143" s="144"/>
      <c r="AQ143" s="144"/>
      <c r="AR143" s="144"/>
    </row>
    <row r="144" spans="1:44" x14ac:dyDescent="0.2">
      <c r="A144" s="145"/>
      <c r="B144" s="146"/>
      <c r="C144" s="146" t="s">
        <v>218</v>
      </c>
      <c r="D144" s="147" t="s">
        <v>219</v>
      </c>
      <c r="E144" s="146"/>
      <c r="F144" s="146"/>
      <c r="G144" s="148">
        <v>2019</v>
      </c>
      <c r="H144" s="148">
        <v>2020</v>
      </c>
      <c r="I144" s="148">
        <v>2021</v>
      </c>
      <c r="J144" s="148">
        <v>2022</v>
      </c>
      <c r="K144" s="148">
        <v>2023</v>
      </c>
      <c r="L144" s="149">
        <v>45352</v>
      </c>
      <c r="M144" s="148">
        <v>2024</v>
      </c>
      <c r="N144" s="146">
        <v>2025</v>
      </c>
      <c r="O144" s="146">
        <v>2026</v>
      </c>
      <c r="P144" s="146">
        <v>2027</v>
      </c>
      <c r="Q144" s="146">
        <v>2028</v>
      </c>
      <c r="R144" s="146">
        <v>2029</v>
      </c>
      <c r="S144" s="146">
        <v>2030</v>
      </c>
      <c r="T144" s="146">
        <v>2031</v>
      </c>
      <c r="U144" s="146">
        <v>2032</v>
      </c>
      <c r="V144" s="146">
        <v>2033</v>
      </c>
      <c r="W144" s="146">
        <v>2034</v>
      </c>
      <c r="X144" s="146">
        <v>2035</v>
      </c>
      <c r="Y144" s="146">
        <v>2036</v>
      </c>
      <c r="Z144" s="146">
        <v>2037</v>
      </c>
      <c r="AA144" s="146">
        <v>2038</v>
      </c>
      <c r="AB144" s="146">
        <v>2039</v>
      </c>
      <c r="AC144" s="146">
        <v>2040</v>
      </c>
      <c r="AD144" s="146">
        <v>2041</v>
      </c>
      <c r="AE144" s="146">
        <v>2042</v>
      </c>
      <c r="AF144" s="146">
        <v>2043</v>
      </c>
      <c r="AG144" s="146">
        <v>2044</v>
      </c>
      <c r="AH144" s="146">
        <v>2045</v>
      </c>
      <c r="AI144" s="146">
        <v>2046</v>
      </c>
      <c r="AJ144" s="146">
        <v>2047</v>
      </c>
      <c r="AK144" s="146">
        <v>2048</v>
      </c>
      <c r="AL144" s="146">
        <v>2049</v>
      </c>
      <c r="AM144" s="146">
        <v>2050</v>
      </c>
      <c r="AN144" s="146">
        <v>2051</v>
      </c>
      <c r="AO144" s="146">
        <v>2052</v>
      </c>
      <c r="AP144" s="146">
        <v>2053</v>
      </c>
      <c r="AQ144" s="146">
        <v>2054</v>
      </c>
      <c r="AR144" s="146">
        <v>2055</v>
      </c>
    </row>
    <row r="145" spans="1:44" x14ac:dyDescent="0.2">
      <c r="A145" s="184"/>
      <c r="B145" s="185"/>
      <c r="C145" s="185"/>
      <c r="D145" s="186"/>
      <c r="E145" s="185"/>
      <c r="F145" s="185"/>
      <c r="G145" s="185" t="s">
        <v>243</v>
      </c>
      <c r="H145" s="185" t="s">
        <v>243</v>
      </c>
      <c r="I145" s="185" t="s">
        <v>243</v>
      </c>
      <c r="J145" s="185" t="s">
        <v>243</v>
      </c>
      <c r="K145" s="185" t="s">
        <v>243</v>
      </c>
      <c r="L145" s="185" t="s">
        <v>244</v>
      </c>
      <c r="M145" s="185" t="s">
        <v>245</v>
      </c>
      <c r="N145" s="185"/>
      <c r="O145" s="185"/>
      <c r="P145" s="185"/>
      <c r="Q145" s="185"/>
      <c r="R145" s="185"/>
      <c r="S145" s="185"/>
      <c r="T145" s="185"/>
      <c r="U145" s="185"/>
      <c r="V145" s="185"/>
      <c r="W145" s="185"/>
      <c r="X145" s="185"/>
      <c r="Y145" s="185"/>
      <c r="Z145" s="185"/>
      <c r="AA145" s="185"/>
      <c r="AB145" s="185"/>
      <c r="AC145" s="185"/>
      <c r="AD145" s="185"/>
      <c r="AE145" s="185"/>
      <c r="AF145" s="185"/>
      <c r="AG145" s="185"/>
      <c r="AH145" s="185"/>
      <c r="AI145" s="185"/>
      <c r="AJ145" s="185"/>
      <c r="AK145" s="185"/>
      <c r="AL145" s="185"/>
      <c r="AM145" s="185"/>
      <c r="AN145" s="185"/>
      <c r="AO145" s="185"/>
      <c r="AP145" s="185"/>
      <c r="AQ145" s="185"/>
      <c r="AR145" s="185"/>
    </row>
    <row r="146" spans="1:44" x14ac:dyDescent="0.2">
      <c r="B146" s="154">
        <v>1</v>
      </c>
      <c r="C146" s="137" t="s">
        <v>220</v>
      </c>
      <c r="D146" s="155" t="s">
        <v>221</v>
      </c>
      <c r="G146" s="207"/>
      <c r="H146" s="207"/>
      <c r="I146" s="207"/>
      <c r="J146" s="210">
        <v>0</v>
      </c>
      <c r="K146" s="210">
        <v>1664</v>
      </c>
      <c r="L146" s="207">
        <v>0</v>
      </c>
      <c r="M146" s="207">
        <v>1803.3585929309827</v>
      </c>
      <c r="N146" s="208">
        <v>1958.8505657692219</v>
      </c>
      <c r="O146" s="208">
        <v>2127.8622750498985</v>
      </c>
      <c r="P146" s="208">
        <v>2311.4575071607655</v>
      </c>
      <c r="Q146" s="208">
        <v>2510.894720985566</v>
      </c>
      <c r="R146" s="208">
        <v>2727.5409797861216</v>
      </c>
      <c r="S146" s="208">
        <v>2962.8813244081043</v>
      </c>
      <c r="T146" s="208">
        <v>3218.5289555124677</v>
      </c>
      <c r="U146" s="208">
        <v>3496.2362946671433</v>
      </c>
      <c r="V146" s="208">
        <v>3797.9070001621467</v>
      </c>
      <c r="W146" s="208">
        <v>4125.6090199602968</v>
      </c>
      <c r="X146" s="208">
        <v>4481.5887713101629</v>
      </c>
      <c r="Y146" s="208">
        <v>4868.2865442765251</v>
      </c>
      <c r="Z146" s="208">
        <v>5288.3532348395474</v>
      </c>
      <c r="AA146" s="208">
        <v>5744.6685223346367</v>
      </c>
      <c r="AB146" s="208">
        <v>6240.3606159132132</v>
      </c>
      <c r="AC146" s="208">
        <v>6778.8277054682667</v>
      </c>
      <c r="AD146" s="208">
        <v>7363.761264161617</v>
      </c>
      <c r="AE146" s="208">
        <v>7999.1713623923006</v>
      </c>
      <c r="AF146" s="208">
        <v>8689.4141668447774</v>
      </c>
      <c r="AG146" s="208">
        <v>9439.2218132463713</v>
      </c>
      <c r="AH146" s="208">
        <v>10253.734857748292</v>
      </c>
      <c r="AI146" s="208">
        <v>11138.537529535641</v>
      </c>
      <c r="AJ146" s="208">
        <v>12099.696026490319</v>
      </c>
      <c r="AK146" s="208">
        <v>13143.800116608569</v>
      </c>
      <c r="AL146" s="208">
        <v>14278.008330555422</v>
      </c>
      <c r="AM146" s="208">
        <v>15510.097055377073</v>
      </c>
      <c r="AN146" s="208">
        <v>16848.513866158457</v>
      </c>
      <c r="AO146" s="208">
        <v>18302.435461490539</v>
      </c>
      <c r="AP146" s="208">
        <v>19881.830600199839</v>
      </c>
      <c r="AQ146" s="208">
        <v>21597.528471108144</v>
      </c>
      <c r="AR146" s="208">
        <v>23461.292964868808</v>
      </c>
    </row>
    <row r="147" spans="1:44" x14ac:dyDescent="0.2">
      <c r="B147" s="154">
        <v>2</v>
      </c>
      <c r="C147" s="137" t="s">
        <v>222</v>
      </c>
      <c r="D147" s="155" t="s">
        <v>223</v>
      </c>
      <c r="G147" s="207"/>
      <c r="H147" s="207"/>
      <c r="I147" s="207"/>
      <c r="J147" s="210">
        <v>1521</v>
      </c>
      <c r="K147" s="210">
        <v>906</v>
      </c>
      <c r="L147" s="207">
        <v>0</v>
      </c>
      <c r="M147" s="207">
        <v>964.11922814612149</v>
      </c>
      <c r="N147" s="208">
        <v>1048.5400304709979</v>
      </c>
      <c r="O147" s="208">
        <v>1140.9307934451849</v>
      </c>
      <c r="P147" s="208">
        <v>1241.4637320016843</v>
      </c>
      <c r="Q147" s="208">
        <v>1350.8565075435881</v>
      </c>
      <c r="R147" s="208">
        <v>1469.890046658126</v>
      </c>
      <c r="S147" s="208">
        <v>1599.414119069879</v>
      </c>
      <c r="T147" s="208">
        <v>1740.3534074621491</v>
      </c>
      <c r="U147" s="208">
        <v>1893.7141125460466</v>
      </c>
      <c r="V147" s="208">
        <v>2060.5911405831871</v>
      </c>
      <c r="W147" s="208">
        <v>2242.1759247317868</v>
      </c>
      <c r="X147" s="208">
        <v>2439.7649361171552</v>
      </c>
      <c r="Y147" s="208">
        <v>2654.7689454585657</v>
      </c>
      <c r="Z147" s="208">
        <v>2888.7231014504541</v>
      </c>
      <c r="AA147" s="208">
        <v>3143.2978979352847</v>
      </c>
      <c r="AB147" s="208">
        <v>3420.3111082599726</v>
      </c>
      <c r="AC147" s="208">
        <v>3721.7407721229224</v>
      </c>
      <c r="AD147" s="208">
        <v>4049.739327744001</v>
      </c>
      <c r="AE147" s="208">
        <v>4406.6489903789698</v>
      </c>
      <c r="AF147" s="208">
        <v>4795.0184871115653</v>
      </c>
      <c r="AG147" s="208">
        <v>5217.621267554412</v>
      </c>
      <c r="AH147" s="208">
        <v>5677.4753206434962</v>
      </c>
      <c r="AI147" s="208">
        <v>6177.8647391957193</v>
      </c>
      <c r="AJ147" s="208">
        <v>6722.3631863970404</v>
      </c>
      <c r="AK147" s="208">
        <v>7314.8594319895155</v>
      </c>
      <c r="AL147" s="208">
        <v>7959.5851407263299</v>
      </c>
      <c r="AM147" s="208">
        <v>8661.1451117706383</v>
      </c>
      <c r="AN147" s="208">
        <v>9424.5501852419293</v>
      </c>
      <c r="AO147" s="208">
        <v>10255.25305118811</v>
      </c>
      <c r="AP147" s="208">
        <v>11159.187217019036</v>
      </c>
      <c r="AQ147" s="208">
        <v>12142.809412026356</v>
      </c>
      <c r="AR147" s="208">
        <v>13213.145732196908</v>
      </c>
    </row>
    <row r="148" spans="1:44" x14ac:dyDescent="0.2">
      <c r="B148" s="154">
        <v>3</v>
      </c>
      <c r="C148" s="137" t="s">
        <v>224</v>
      </c>
      <c r="D148" s="155" t="s">
        <v>225</v>
      </c>
      <c r="G148" s="207"/>
      <c r="H148" s="207"/>
      <c r="I148" s="207"/>
      <c r="J148" s="210">
        <v>0</v>
      </c>
      <c r="K148" s="210">
        <v>0</v>
      </c>
      <c r="L148" s="207">
        <v>0</v>
      </c>
      <c r="M148" s="207">
        <v>0</v>
      </c>
      <c r="N148" s="208">
        <v>0</v>
      </c>
      <c r="O148" s="208">
        <v>0</v>
      </c>
      <c r="P148" s="208">
        <v>0</v>
      </c>
      <c r="Q148" s="208">
        <v>0</v>
      </c>
      <c r="R148" s="208">
        <v>0</v>
      </c>
      <c r="S148" s="208">
        <v>0</v>
      </c>
      <c r="T148" s="208">
        <v>0</v>
      </c>
      <c r="U148" s="208">
        <v>0</v>
      </c>
      <c r="V148" s="208">
        <v>0</v>
      </c>
      <c r="W148" s="208">
        <v>0</v>
      </c>
      <c r="X148" s="208">
        <v>0</v>
      </c>
      <c r="Y148" s="208">
        <v>0</v>
      </c>
      <c r="Z148" s="208">
        <v>0</v>
      </c>
      <c r="AA148" s="208">
        <v>0</v>
      </c>
      <c r="AB148" s="208">
        <v>0</v>
      </c>
      <c r="AC148" s="208">
        <v>0</v>
      </c>
      <c r="AD148" s="208">
        <v>0</v>
      </c>
      <c r="AE148" s="208">
        <v>0</v>
      </c>
      <c r="AF148" s="208">
        <v>0</v>
      </c>
      <c r="AG148" s="208">
        <v>0</v>
      </c>
      <c r="AH148" s="208">
        <v>0</v>
      </c>
      <c r="AI148" s="208">
        <v>0</v>
      </c>
      <c r="AJ148" s="208">
        <v>0</v>
      </c>
      <c r="AK148" s="208">
        <v>0</v>
      </c>
      <c r="AL148" s="208">
        <v>0</v>
      </c>
      <c r="AM148" s="208">
        <v>0</v>
      </c>
      <c r="AN148" s="208">
        <v>0</v>
      </c>
      <c r="AO148" s="208">
        <v>0</v>
      </c>
      <c r="AP148" s="208">
        <v>0</v>
      </c>
      <c r="AQ148" s="208">
        <v>0</v>
      </c>
      <c r="AR148" s="208">
        <v>0</v>
      </c>
    </row>
    <row r="149" spans="1:44" x14ac:dyDescent="0.2">
      <c r="B149" s="154">
        <v>4</v>
      </c>
      <c r="C149" s="137" t="s">
        <v>226</v>
      </c>
      <c r="D149" s="155" t="s">
        <v>227</v>
      </c>
      <c r="G149" s="207"/>
      <c r="H149" s="207"/>
      <c r="I149" s="207"/>
      <c r="J149" s="210">
        <v>20508</v>
      </c>
      <c r="K149" s="210">
        <v>28332</v>
      </c>
      <c r="L149" s="207">
        <v>0</v>
      </c>
      <c r="M149" s="207">
        <v>30494.860245901073</v>
      </c>
      <c r="N149" s="208">
        <v>33139.497102614907</v>
      </c>
      <c r="O149" s="208">
        <v>36021.524556374941</v>
      </c>
      <c r="P149" s="208">
        <v>39154.243908782621</v>
      </c>
      <c r="Q149" s="208">
        <v>42559.46604500743</v>
      </c>
      <c r="R149" s="208">
        <v>46260.899857514596</v>
      </c>
      <c r="S149" s="208">
        <v>50284.317447880254</v>
      </c>
      <c r="T149" s="208">
        <v>54657.733710790082</v>
      </c>
      <c r="U149" s="208">
        <v>59411.601552579843</v>
      </c>
      <c r="V149" s="208">
        <v>64579.02410575145</v>
      </c>
      <c r="W149" s="208">
        <v>70195.985419475721</v>
      </c>
      <c r="X149" s="208">
        <v>76301.601235000766</v>
      </c>
      <c r="Y149" s="208">
        <v>82938.39159502236</v>
      </c>
      <c r="Z149" s="208">
        <v>90152.577188419469</v>
      </c>
      <c r="AA149" s="208">
        <v>97994.401497377024</v>
      </c>
      <c r="AB149" s="208">
        <v>106518.48099396663</v>
      </c>
      <c r="AC149" s="208">
        <v>115784.18582899024</v>
      </c>
      <c r="AD149" s="208">
        <v>125856.05366868114</v>
      </c>
      <c r="AE149" s="208">
        <v>136804.23956618379</v>
      </c>
      <c r="AF149" s="208">
        <v>148705.00500621856</v>
      </c>
      <c r="AG149" s="208">
        <v>161641.24953473214</v>
      </c>
      <c r="AH149" s="208">
        <v>175703.08868255123</v>
      </c>
      <c r="AI149" s="208">
        <v>190988.48221517273</v>
      </c>
      <c r="AJ149" s="208">
        <v>207603.91709209094</v>
      </c>
      <c r="AK149" s="208">
        <v>225665.14990094135</v>
      </c>
      <c r="AL149" s="208">
        <v>245298.0139468936</v>
      </c>
      <c r="AM149" s="208">
        <v>266639.29662905552</v>
      </c>
      <c r="AN149" s="208">
        <v>289837.69322631159</v>
      </c>
      <c r="AO149" s="208">
        <v>315054.84374843282</v>
      </c>
      <c r="AP149" s="208">
        <v>342466.46008820052</v>
      </c>
      <c r="AQ149" s="208">
        <v>372263.55134071957</v>
      </c>
      <c r="AR149" s="208">
        <v>404653.75584147742</v>
      </c>
    </row>
    <row r="150" spans="1:44" x14ac:dyDescent="0.2">
      <c r="B150" s="154">
        <v>5</v>
      </c>
      <c r="C150" s="137" t="s">
        <v>228</v>
      </c>
      <c r="D150" s="155" t="s">
        <v>221</v>
      </c>
      <c r="G150" s="207"/>
      <c r="H150" s="207"/>
      <c r="I150" s="207"/>
      <c r="J150" s="210">
        <v>0</v>
      </c>
      <c r="K150" s="210">
        <v>5717</v>
      </c>
      <c r="L150" s="207">
        <v>0</v>
      </c>
      <c r="M150" s="207">
        <v>6148.7159697631059</v>
      </c>
      <c r="N150" s="208">
        <v>6682.3027718020739</v>
      </c>
      <c r="O150" s="208">
        <v>7263.9534616293131</v>
      </c>
      <c r="P150" s="208">
        <v>7896.2439028665221</v>
      </c>
      <c r="Q150" s="208">
        <v>8583.583853786271</v>
      </c>
      <c r="R150" s="208">
        <v>9330.7671622618636</v>
      </c>
      <c r="S150" s="208">
        <v>10143.005227272235</v>
      </c>
      <c r="T150" s="208">
        <v>11025.96337618257</v>
      </c>
      <c r="U150" s="208">
        <v>11985.800411932447</v>
      </c>
      <c r="V150" s="208">
        <v>13029.211606417739</v>
      </c>
      <c r="W150" s="208">
        <v>14163.475440438728</v>
      </c>
      <c r="X150" s="208">
        <v>15396.504416773409</v>
      </c>
      <c r="Y150" s="208">
        <v>16736.900301404861</v>
      </c>
      <c r="Z150" s="208">
        <v>18194.014178884165</v>
      </c>
      <c r="AA150" s="208">
        <v>19778.011741462011</v>
      </c>
      <c r="AB150" s="208">
        <v>21499.944268208452</v>
      </c>
      <c r="AC150" s="208">
        <v>23371.825790117109</v>
      </c>
      <c r="AD150" s="208">
        <v>25406.716980435682</v>
      </c>
      <c r="AE150" s="208">
        <v>27618.816356481839</v>
      </c>
      <c r="AF150" s="208">
        <v>30023.559430320864</v>
      </c>
      <c r="AG150" s="208">
        <v>32637.726501257115</v>
      </c>
      <c r="AH150" s="208">
        <v>35479.559843513685</v>
      </c>
      <c r="AI150" s="208">
        <v>38568.891108167001</v>
      </c>
      <c r="AJ150" s="208">
        <v>41927.279829824765</v>
      </c>
      <c r="AK150" s="208">
        <v>45578.164006186642</v>
      </c>
      <c r="AL150" s="208">
        <v>49547.023803050979</v>
      </c>
      <c r="AM150" s="208">
        <v>53861.559529117876</v>
      </c>
      <c r="AN150" s="208">
        <v>58551.885124732631</v>
      </c>
      <c r="AO150" s="208">
        <v>63650.738517211023</v>
      </c>
      <c r="AP150" s="208">
        <v>69193.710313349686</v>
      </c>
      <c r="AQ150" s="208">
        <v>75219.492427976016</v>
      </c>
      <c r="AR150" s="208">
        <v>81770.14838683058</v>
      </c>
    </row>
    <row r="151" spans="1:44" x14ac:dyDescent="0.2">
      <c r="B151" s="154">
        <v>6</v>
      </c>
      <c r="C151" s="137" t="s">
        <v>229</v>
      </c>
      <c r="D151" s="155" t="s">
        <v>230</v>
      </c>
      <c r="G151" s="207"/>
      <c r="H151" s="207"/>
      <c r="I151" s="207"/>
      <c r="J151" s="210">
        <v>316454</v>
      </c>
      <c r="K151" s="210">
        <v>703372</v>
      </c>
      <c r="L151" s="207">
        <v>0</v>
      </c>
      <c r="M151" s="207">
        <v>755746.37978989689</v>
      </c>
      <c r="N151" s="208">
        <v>821384.43979160138</v>
      </c>
      <c r="O151" s="208">
        <v>892961.2642680509</v>
      </c>
      <c r="P151" s="208">
        <v>970776.79778034368</v>
      </c>
      <c r="Q151" s="208">
        <v>1055374.9338285842</v>
      </c>
      <c r="R151" s="208">
        <v>1147346.9934183354</v>
      </c>
      <c r="S151" s="208">
        <v>1247335.8616686894</v>
      </c>
      <c r="T151" s="208">
        <v>1356040.4852950922</v>
      </c>
      <c r="U151" s="208">
        <v>1474220.7624565156</v>
      </c>
      <c r="V151" s="208">
        <v>1602702.859204937</v>
      </c>
      <c r="W151" s="208">
        <v>1742384.989763401</v>
      </c>
      <c r="X151" s="208">
        <v>1894243.7011081122</v>
      </c>
      <c r="Y151" s="208">
        <v>2059340.7058628667</v>
      </c>
      <c r="Z151" s="208">
        <v>2238830.311355392</v>
      </c>
      <c r="AA151" s="208">
        <v>2433967.4968618159</v>
      </c>
      <c r="AB151" s="208">
        <v>2646116.6956067621</v>
      </c>
      <c r="AC151" s="208">
        <v>2876761.3430243572</v>
      </c>
      <c r="AD151" s="208">
        <v>3127514.2581543284</v>
      </c>
      <c r="AE151" s="208">
        <v>3400128.9308850272</v>
      </c>
      <c r="AF151" s="208">
        <v>3506035.8565737056</v>
      </c>
      <c r="AG151" s="208">
        <v>3506035.8565737056</v>
      </c>
      <c r="AH151" s="208">
        <v>3506035.8565737056</v>
      </c>
      <c r="AI151" s="208">
        <v>3506035.8565737056</v>
      </c>
      <c r="AJ151" s="208">
        <v>3506035.8565737056</v>
      </c>
      <c r="AK151" s="208">
        <v>3506035.8565737056</v>
      </c>
      <c r="AL151" s="208">
        <v>3506035.8565737056</v>
      </c>
      <c r="AM151" s="208">
        <v>3506035.8565737056</v>
      </c>
      <c r="AN151" s="208">
        <v>3506035.8565737056</v>
      </c>
      <c r="AO151" s="208">
        <v>3506035.8565737056</v>
      </c>
      <c r="AP151" s="208">
        <v>3506035.8565737056</v>
      </c>
      <c r="AQ151" s="208">
        <v>3506035.8565737056</v>
      </c>
      <c r="AR151" s="208">
        <v>3506035.8565737056</v>
      </c>
    </row>
    <row r="152" spans="1:44" x14ac:dyDescent="0.2">
      <c r="B152" s="154">
        <v>7</v>
      </c>
      <c r="C152" s="137" t="s">
        <v>231</v>
      </c>
      <c r="D152" s="155" t="s">
        <v>225</v>
      </c>
      <c r="G152" s="207"/>
      <c r="H152" s="207"/>
      <c r="I152" s="207"/>
      <c r="J152" s="210">
        <v>1027</v>
      </c>
      <c r="K152" s="210">
        <v>1131</v>
      </c>
      <c r="L152" s="207">
        <v>0</v>
      </c>
      <c r="M152" s="207">
        <v>1131</v>
      </c>
      <c r="N152" s="208">
        <v>1228.3432464341463</v>
      </c>
      <c r="O152" s="208">
        <v>1334.064660530838</v>
      </c>
      <c r="P152" s="208">
        <v>1448.8853369314913</v>
      </c>
      <c r="Q152" s="208">
        <v>1573.5884336668964</v>
      </c>
      <c r="R152" s="208">
        <v>1709.0245138475852</v>
      </c>
      <c r="S152" s="208">
        <v>1856.1173471044044</v>
      </c>
      <c r="T152" s="208">
        <v>2015.8702103492124</v>
      </c>
      <c r="U152" s="208">
        <v>2189.3727308313323</v>
      </c>
      <c r="V152" s="208">
        <v>2377.808318164236</v>
      </c>
      <c r="W152" s="208">
        <v>2582.4622360141248</v>
      </c>
      <c r="X152" s="208">
        <v>2804.7303685050174</v>
      </c>
      <c r="Y152" s="208">
        <v>3046.1287411334151</v>
      </c>
      <c r="Z152" s="208">
        <v>3308.3038611318993</v>
      </c>
      <c r="AA152" s="208">
        <v>3593.0439478102371</v>
      </c>
      <c r="AB152" s="208">
        <v>3902.2911294728451</v>
      </c>
      <c r="AC152" s="208">
        <v>4238.1546901041966</v>
      </c>
      <c r="AD152" s="208">
        <v>4602.9254561739099</v>
      </c>
      <c r="AE152" s="208">
        <v>4999.0914216896854</v>
      </c>
      <c r="AF152" s="208">
        <v>5429.3547180719715</v>
      </c>
      <c r="AG152" s="208">
        <v>5896.6500445968832</v>
      </c>
      <c r="AH152" s="208">
        <v>6404.164685115994</v>
      </c>
      <c r="AI152" s="208">
        <v>6955.3602475811604</v>
      </c>
      <c r="AJ152" s="208">
        <v>7553.996274653271</v>
      </c>
      <c r="AK152" s="208">
        <v>8204.1558864359376</v>
      </c>
      <c r="AL152" s="208">
        <v>8910.2736302356589</v>
      </c>
      <c r="AM152" s="208">
        <v>9677.1657273034798</v>
      </c>
      <c r="AN152" s="208">
        <v>10510.062922862257</v>
      </c>
      <c r="AO152" s="208">
        <v>11414.646163479909</v>
      </c>
      <c r="AP152" s="208">
        <v>12397.085345133497</v>
      </c>
      <c r="AQ152" s="208">
        <v>13464.081396253279</v>
      </c>
      <c r="AR152" s="208">
        <v>14622.9119827828</v>
      </c>
    </row>
    <row r="153" spans="1:44" x14ac:dyDescent="0.2">
      <c r="B153" s="154">
        <v>8</v>
      </c>
      <c r="C153" s="137" t="s">
        <v>232</v>
      </c>
      <c r="D153" s="155" t="s">
        <v>233</v>
      </c>
      <c r="G153" s="207"/>
      <c r="H153" s="207"/>
      <c r="I153" s="207"/>
      <c r="J153" s="210">
        <v>130713</v>
      </c>
      <c r="K153" s="210">
        <v>144806</v>
      </c>
      <c r="L153" s="207">
        <v>0</v>
      </c>
      <c r="M153" s="207">
        <v>157073.74631055386</v>
      </c>
      <c r="N153" s="208">
        <v>170606.99667724301</v>
      </c>
      <c r="O153" s="208">
        <v>185311.96010037672</v>
      </c>
      <c r="P153" s="208">
        <v>201284.42735733552</v>
      </c>
      <c r="Q153" s="208">
        <v>218633.65647193789</v>
      </c>
      <c r="R153" s="208">
        <v>237478.32385742437</v>
      </c>
      <c r="S153" s="208">
        <v>257947.33624856774</v>
      </c>
      <c r="T153" s="208">
        <v>280180.7126313757</v>
      </c>
      <c r="U153" s="208">
        <v>304330.54220524884</v>
      </c>
      <c r="V153" s="208">
        <v>330562.02493277821</v>
      </c>
      <c r="W153" s="208">
        <v>359054.6017975561</v>
      </c>
      <c r="X153" s="208">
        <v>390003.182504292</v>
      </c>
      <c r="Y153" s="208">
        <v>423619.47902238218</v>
      </c>
      <c r="Z153" s="208">
        <v>460133.45409843512</v>
      </c>
      <c r="AA153" s="208">
        <v>499794.8946500686</v>
      </c>
      <c r="AB153" s="208">
        <v>542875.12080794957</v>
      </c>
      <c r="AC153" s="208">
        <v>589668.84230139735</v>
      </c>
      <c r="AD153" s="208">
        <v>640496.17489126883</v>
      </c>
      <c r="AE153" s="208">
        <v>695704.83064919419</v>
      </c>
      <c r="AF153" s="208">
        <v>755672.49707202706</v>
      </c>
      <c r="AG153" s="208">
        <v>820809.42131276487</v>
      </c>
      <c r="AH153" s="208">
        <v>891561.21721302764</v>
      </c>
      <c r="AI153" s="208">
        <v>968411.91434706119</v>
      </c>
      <c r="AJ153" s="208">
        <v>1051887.2699436033</v>
      </c>
      <c r="AK153" s="208">
        <v>1142558.3663511432</v>
      </c>
      <c r="AL153" s="208">
        <v>1241045.5186664511</v>
      </c>
      <c r="AM153" s="208">
        <v>1348022.5192691074</v>
      </c>
      <c r="AN153" s="208">
        <v>1464221.2483106852</v>
      </c>
      <c r="AO153" s="208">
        <v>1590436.6817119943</v>
      </c>
      <c r="AP153" s="208">
        <v>1727532.330942533</v>
      </c>
      <c r="AQ153" s="208">
        <v>1876446.15181166</v>
      </c>
      <c r="AR153" s="208">
        <v>1938911.0225763612</v>
      </c>
    </row>
    <row r="154" spans="1:44" x14ac:dyDescent="0.2">
      <c r="B154" s="157"/>
      <c r="C154" s="158" t="s">
        <v>84</v>
      </c>
      <c r="D154" s="159"/>
      <c r="E154" s="158"/>
      <c r="F154" s="158"/>
      <c r="G154" s="191">
        <v>0</v>
      </c>
      <c r="H154" s="191">
        <v>0</v>
      </c>
      <c r="I154" s="191">
        <v>0</v>
      </c>
      <c r="J154" s="211">
        <v>470223</v>
      </c>
      <c r="K154" s="211">
        <v>885928</v>
      </c>
      <c r="L154" s="191">
        <v>0</v>
      </c>
      <c r="M154" s="191">
        <v>953362.18013719202</v>
      </c>
      <c r="N154" s="212">
        <v>1036048.9701859357</v>
      </c>
      <c r="O154" s="212">
        <v>1126161.5601154577</v>
      </c>
      <c r="P154" s="212">
        <v>1224113.5195254222</v>
      </c>
      <c r="Q154" s="212">
        <v>1330586.9798615118</v>
      </c>
      <c r="R154" s="212">
        <v>1446323.439835828</v>
      </c>
      <c r="S154" s="212">
        <v>1572128.9333829922</v>
      </c>
      <c r="T154" s="212">
        <v>1708879.6475867645</v>
      </c>
      <c r="U154" s="212">
        <v>1857528.0297643212</v>
      </c>
      <c r="V154" s="212">
        <v>2019109.4263087939</v>
      </c>
      <c r="W154" s="212">
        <v>2194749.2996015777</v>
      </c>
      <c r="X154" s="212">
        <v>2385671.0733401105</v>
      </c>
      <c r="Y154" s="212">
        <v>2593204.6610125448</v>
      </c>
      <c r="Z154" s="212">
        <v>2818795.7370185526</v>
      </c>
      <c r="AA154" s="212">
        <v>3064015.8151188036</v>
      </c>
      <c r="AB154" s="212">
        <v>3330573.2045305325</v>
      </c>
      <c r="AC154" s="212">
        <v>3620324.9201125568</v>
      </c>
      <c r="AD154" s="212">
        <v>3935289.6297427933</v>
      </c>
      <c r="AE154" s="212">
        <v>4277661.7292313483</v>
      </c>
      <c r="AF154" s="212">
        <v>4459350.7054543002</v>
      </c>
      <c r="AG154" s="212">
        <v>4541677.7470478574</v>
      </c>
      <c r="AH154" s="212">
        <v>4631115.0971763059</v>
      </c>
      <c r="AI154" s="212">
        <v>4728276.9067604188</v>
      </c>
      <c r="AJ154" s="212">
        <v>4833830.3789267652</v>
      </c>
      <c r="AK154" s="212">
        <v>4948500.3522670111</v>
      </c>
      <c r="AL154" s="212">
        <v>5073074.2800916191</v>
      </c>
      <c r="AM154" s="212">
        <v>5208407.6398954373</v>
      </c>
      <c r="AN154" s="212">
        <v>5355429.8102096971</v>
      </c>
      <c r="AO154" s="212">
        <v>5515150.4552275026</v>
      </c>
      <c r="AP154" s="212">
        <v>5688666.4610801414</v>
      </c>
      <c r="AQ154" s="212">
        <v>5877169.4714334486</v>
      </c>
      <c r="AR154" s="212">
        <v>5982668.1340582231</v>
      </c>
    </row>
    <row r="155" spans="1:44" x14ac:dyDescent="0.2">
      <c r="B155" s="154"/>
      <c r="D155" s="155"/>
      <c r="G155" s="154"/>
      <c r="H155" s="154"/>
      <c r="I155" s="154"/>
      <c r="J155" s="154"/>
      <c r="K155" s="154"/>
      <c r="L155" s="206"/>
      <c r="W155" s="172"/>
    </row>
    <row r="156" spans="1:44" x14ac:dyDescent="0.2">
      <c r="B156" s="214"/>
      <c r="C156" s="195" t="s">
        <v>250</v>
      </c>
      <c r="D156" s="215"/>
      <c r="E156" s="216"/>
      <c r="F156" s="216"/>
      <c r="G156" s="214"/>
      <c r="H156" s="214"/>
      <c r="I156" s="214"/>
      <c r="J156" s="214"/>
      <c r="K156" s="214"/>
      <c r="L156" s="217"/>
      <c r="M156" s="216"/>
      <c r="N156" s="216"/>
      <c r="O156" s="216"/>
      <c r="P156" s="216"/>
      <c r="Q156" s="216"/>
      <c r="R156" s="216"/>
      <c r="S156" s="216"/>
      <c r="T156" s="216"/>
      <c r="U156" s="216"/>
      <c r="V156" s="216"/>
      <c r="W156" s="195"/>
      <c r="X156" s="216"/>
      <c r="Y156" s="216"/>
      <c r="Z156" s="216"/>
      <c r="AA156" s="216"/>
      <c r="AB156" s="216"/>
      <c r="AC156" s="216"/>
      <c r="AD156" s="216"/>
      <c r="AE156" s="216"/>
      <c r="AF156" s="216"/>
      <c r="AG156" s="216"/>
      <c r="AH156" s="216"/>
      <c r="AI156" s="216"/>
      <c r="AJ156" s="216"/>
      <c r="AK156" s="216"/>
      <c r="AL156" s="216"/>
      <c r="AM156" s="216"/>
      <c r="AN156" s="216"/>
      <c r="AO156" s="216"/>
      <c r="AP156" s="216"/>
      <c r="AQ156" s="216"/>
      <c r="AR156" s="216"/>
    </row>
    <row r="157" spans="1:44" x14ac:dyDescent="0.2">
      <c r="B157" s="139"/>
      <c r="C157" s="140" t="s">
        <v>251</v>
      </c>
      <c r="D157" s="141"/>
      <c r="E157" s="140"/>
      <c r="F157" s="140"/>
      <c r="G157" s="142"/>
      <c r="H157" s="142"/>
      <c r="I157" s="139"/>
      <c r="J157" s="139"/>
      <c r="K157" s="139"/>
      <c r="L157" s="143"/>
      <c r="M157" s="143"/>
      <c r="N157" s="143"/>
      <c r="O157" s="143"/>
      <c r="P157" s="144"/>
      <c r="Q157" s="144"/>
      <c r="R157" s="144"/>
      <c r="S157" s="144"/>
      <c r="T157" s="144"/>
      <c r="U157" s="144"/>
      <c r="V157" s="144"/>
      <c r="W157" s="140"/>
      <c r="X157" s="144"/>
      <c r="Y157" s="144"/>
      <c r="Z157" s="144"/>
      <c r="AA157" s="144"/>
      <c r="AB157" s="144"/>
      <c r="AC157" s="144"/>
      <c r="AD157" s="144"/>
      <c r="AE157" s="144"/>
      <c r="AF157" s="144"/>
      <c r="AG157" s="144"/>
      <c r="AH157" s="144"/>
      <c r="AI157" s="144"/>
      <c r="AJ157" s="144"/>
      <c r="AK157" s="144"/>
      <c r="AL157" s="144"/>
      <c r="AM157" s="144"/>
      <c r="AN157" s="144"/>
      <c r="AO157" s="144"/>
      <c r="AP157" s="144"/>
      <c r="AQ157" s="144"/>
      <c r="AR157" s="144"/>
    </row>
    <row r="158" spans="1:44" x14ac:dyDescent="0.2">
      <c r="A158" s="145"/>
      <c r="B158" s="146"/>
      <c r="C158" s="146" t="s">
        <v>218</v>
      </c>
      <c r="D158" s="147" t="s">
        <v>219</v>
      </c>
      <c r="E158" s="146"/>
      <c r="F158" s="146"/>
      <c r="G158" s="148">
        <v>2019</v>
      </c>
      <c r="H158" s="148">
        <v>2020</v>
      </c>
      <c r="I158" s="148">
        <v>2021</v>
      </c>
      <c r="J158" s="148">
        <v>2022</v>
      </c>
      <c r="K158" s="148">
        <v>2023</v>
      </c>
      <c r="L158" s="149">
        <v>45352</v>
      </c>
      <c r="M158" s="148">
        <v>2024</v>
      </c>
      <c r="N158" s="146">
        <v>2025</v>
      </c>
      <c r="O158" s="146">
        <v>2026</v>
      </c>
      <c r="P158" s="146">
        <v>2027</v>
      </c>
      <c r="Q158" s="146">
        <v>2028</v>
      </c>
      <c r="R158" s="146">
        <v>2029</v>
      </c>
      <c r="S158" s="146">
        <v>2030</v>
      </c>
      <c r="T158" s="146">
        <v>2031</v>
      </c>
      <c r="U158" s="146">
        <v>2032</v>
      </c>
      <c r="V158" s="146">
        <v>2033</v>
      </c>
      <c r="W158" s="146">
        <v>2034</v>
      </c>
      <c r="X158" s="146">
        <v>2035</v>
      </c>
      <c r="Y158" s="146">
        <v>2036</v>
      </c>
      <c r="Z158" s="146">
        <v>2037</v>
      </c>
      <c r="AA158" s="146">
        <v>2038</v>
      </c>
      <c r="AB158" s="146">
        <v>2039</v>
      </c>
      <c r="AC158" s="146">
        <v>2040</v>
      </c>
      <c r="AD158" s="146">
        <v>2041</v>
      </c>
      <c r="AE158" s="146">
        <v>2042</v>
      </c>
      <c r="AF158" s="146">
        <v>2043</v>
      </c>
      <c r="AG158" s="146">
        <v>2044</v>
      </c>
      <c r="AH158" s="146">
        <v>2045</v>
      </c>
      <c r="AI158" s="146">
        <v>2046</v>
      </c>
      <c r="AJ158" s="146">
        <v>2047</v>
      </c>
      <c r="AK158" s="146">
        <v>2048</v>
      </c>
      <c r="AL158" s="146">
        <v>2049</v>
      </c>
      <c r="AM158" s="146">
        <v>2050</v>
      </c>
      <c r="AN158" s="146">
        <v>2051</v>
      </c>
      <c r="AO158" s="146">
        <v>2052</v>
      </c>
      <c r="AP158" s="146">
        <v>2053</v>
      </c>
      <c r="AQ158" s="146">
        <v>2054</v>
      </c>
      <c r="AR158" s="146">
        <v>2055</v>
      </c>
    </row>
    <row r="159" spans="1:44" x14ac:dyDescent="0.2">
      <c r="B159" s="150"/>
      <c r="C159" s="150"/>
      <c r="D159" s="151"/>
      <c r="E159" s="218"/>
      <c r="F159" s="150"/>
      <c r="G159" s="185" t="s">
        <v>243</v>
      </c>
      <c r="H159" s="185" t="s">
        <v>243</v>
      </c>
      <c r="I159" s="185" t="s">
        <v>243</v>
      </c>
      <c r="J159" s="185" t="s">
        <v>243</v>
      </c>
      <c r="K159" s="185" t="s">
        <v>243</v>
      </c>
      <c r="L159" s="185" t="s">
        <v>244</v>
      </c>
      <c r="M159" s="185" t="s">
        <v>245</v>
      </c>
      <c r="N159" s="150"/>
      <c r="O159" s="150"/>
      <c r="P159" s="150"/>
      <c r="Q159" s="150"/>
      <c r="R159" s="150"/>
      <c r="S159" s="150"/>
      <c r="T159" s="150"/>
      <c r="U159" s="150"/>
      <c r="V159" s="150"/>
      <c r="W159" s="150"/>
      <c r="X159" s="150"/>
      <c r="Y159" s="150"/>
      <c r="Z159" s="150"/>
      <c r="AA159" s="150"/>
      <c r="AB159" s="150"/>
      <c r="AC159" s="150"/>
      <c r="AD159" s="150"/>
      <c r="AE159" s="150"/>
      <c r="AF159" s="150"/>
      <c r="AG159" s="150"/>
      <c r="AH159" s="150"/>
      <c r="AI159" s="150"/>
      <c r="AJ159" s="150"/>
      <c r="AK159" s="150"/>
      <c r="AL159" s="150"/>
      <c r="AM159" s="150"/>
      <c r="AN159" s="150"/>
      <c r="AO159" s="150"/>
      <c r="AP159" s="150"/>
      <c r="AQ159" s="150"/>
      <c r="AR159" s="150"/>
    </row>
    <row r="160" spans="1:44" x14ac:dyDescent="0.2">
      <c r="B160" s="154">
        <v>1</v>
      </c>
      <c r="C160" s="137" t="s">
        <v>220</v>
      </c>
      <c r="D160" s="155" t="s">
        <v>221</v>
      </c>
      <c r="G160" s="156">
        <v>0</v>
      </c>
      <c r="H160" s="156">
        <v>0</v>
      </c>
      <c r="I160" s="156">
        <v>0</v>
      </c>
      <c r="J160" s="156"/>
      <c r="K160" s="156">
        <v>89.087755034784067</v>
      </c>
      <c r="L160" s="156">
        <v>96.788104595413571</v>
      </c>
      <c r="M160" s="156">
        <v>97.272045118390622</v>
      </c>
      <c r="N160" s="156">
        <v>97.75840534398256</v>
      </c>
      <c r="O160" s="156">
        <v>98.247197370702466</v>
      </c>
      <c r="P160" s="156">
        <v>98.738433357555962</v>
      </c>
      <c r="Q160" s="156">
        <v>99.232125524343729</v>
      </c>
      <c r="R160" s="156">
        <v>99.728286151965435</v>
      </c>
      <c r="S160" s="156">
        <v>100.22692758272525</v>
      </c>
      <c r="T160" s="156">
        <v>103.233735410207</v>
      </c>
      <c r="U160" s="156">
        <v>106.33074747251321</v>
      </c>
      <c r="V160" s="156">
        <v>109.5206698966886</v>
      </c>
      <c r="W160" s="156">
        <v>112.80628999358926</v>
      </c>
      <c r="X160" s="156">
        <v>115.06241579346104</v>
      </c>
      <c r="Y160" s="156">
        <v>117.36366410933026</v>
      </c>
      <c r="Z160" s="156">
        <v>119.71093739151686</v>
      </c>
      <c r="AA160" s="156">
        <v>120</v>
      </c>
      <c r="AB160" s="156">
        <v>120</v>
      </c>
      <c r="AC160" s="156">
        <v>120</v>
      </c>
      <c r="AD160" s="156">
        <v>120</v>
      </c>
      <c r="AE160" s="156">
        <v>120</v>
      </c>
      <c r="AF160" s="156">
        <v>120</v>
      </c>
      <c r="AG160" s="156">
        <v>120</v>
      </c>
      <c r="AH160" s="156">
        <v>120</v>
      </c>
      <c r="AI160" s="156">
        <v>120</v>
      </c>
      <c r="AJ160" s="156">
        <v>120</v>
      </c>
      <c r="AK160" s="156">
        <v>120</v>
      </c>
      <c r="AL160" s="156">
        <v>120</v>
      </c>
      <c r="AM160" s="156">
        <v>120</v>
      </c>
      <c r="AN160" s="156">
        <v>120</v>
      </c>
      <c r="AO160" s="156">
        <v>120</v>
      </c>
      <c r="AP160" s="156">
        <v>120</v>
      </c>
      <c r="AQ160" s="156">
        <v>120</v>
      </c>
      <c r="AR160" s="156">
        <v>120</v>
      </c>
    </row>
    <row r="161" spans="1:44" x14ac:dyDescent="0.2">
      <c r="B161" s="154">
        <v>2</v>
      </c>
      <c r="C161" s="137" t="s">
        <v>222</v>
      </c>
      <c r="D161" s="155" t="s">
        <v>223</v>
      </c>
      <c r="G161" s="156">
        <v>0</v>
      </c>
      <c r="H161" s="156">
        <v>0</v>
      </c>
      <c r="I161" s="156">
        <v>0</v>
      </c>
      <c r="J161" s="156"/>
      <c r="K161" s="156">
        <v>97.97</v>
      </c>
      <c r="L161" s="156">
        <v>98.949699999999993</v>
      </c>
      <c r="M161" s="156">
        <v>98.949699999999993</v>
      </c>
      <c r="N161" s="156">
        <v>99.444448499999979</v>
      </c>
      <c r="O161" s="156">
        <v>99.941670742499966</v>
      </c>
      <c r="P161" s="156">
        <v>100.44137909621246</v>
      </c>
      <c r="Q161" s="156">
        <v>100.94358599169351</v>
      </c>
      <c r="R161" s="156">
        <v>101.44830392165197</v>
      </c>
      <c r="S161" s="156">
        <v>101.95554544126021</v>
      </c>
      <c r="T161" s="156">
        <v>105.01421180449802</v>
      </c>
      <c r="U161" s="156">
        <v>108.16463815863297</v>
      </c>
      <c r="V161" s="156">
        <v>111.40957730339196</v>
      </c>
      <c r="W161" s="156">
        <v>114.75186462249371</v>
      </c>
      <c r="X161" s="156">
        <v>118.19442056116853</v>
      </c>
      <c r="Y161" s="156">
        <v>120</v>
      </c>
      <c r="Z161" s="156">
        <v>120</v>
      </c>
      <c r="AA161" s="156">
        <v>119.99999999999994</v>
      </c>
      <c r="AB161" s="156">
        <v>119.99999999999999</v>
      </c>
      <c r="AC161" s="156">
        <v>119.99999999999999</v>
      </c>
      <c r="AD161" s="156">
        <v>119.99999999999997</v>
      </c>
      <c r="AE161" s="156">
        <v>120.00000000000003</v>
      </c>
      <c r="AF161" s="156">
        <v>119.99999999999996</v>
      </c>
      <c r="AG161" s="156">
        <v>119.99999999999999</v>
      </c>
      <c r="AH161" s="156">
        <v>119.99999999999999</v>
      </c>
      <c r="AI161" s="156">
        <v>119.99999999999999</v>
      </c>
      <c r="AJ161" s="156">
        <v>120.00000000000003</v>
      </c>
      <c r="AK161" s="156">
        <v>119.99999999999996</v>
      </c>
      <c r="AL161" s="156">
        <v>119.99999999999997</v>
      </c>
      <c r="AM161" s="156">
        <v>119.99999999999999</v>
      </c>
      <c r="AN161" s="156">
        <v>119.99999999999997</v>
      </c>
      <c r="AO161" s="156">
        <v>120.00000000000003</v>
      </c>
      <c r="AP161" s="156">
        <v>119.99999999999999</v>
      </c>
      <c r="AQ161" s="156">
        <v>119.99999999999997</v>
      </c>
      <c r="AR161" s="156">
        <v>120</v>
      </c>
    </row>
    <row r="162" spans="1:44" x14ac:dyDescent="0.2">
      <c r="B162" s="154">
        <v>3</v>
      </c>
      <c r="C162" s="137" t="s">
        <v>224</v>
      </c>
      <c r="D162" s="155" t="s">
        <v>225</v>
      </c>
      <c r="G162" s="156">
        <v>0</v>
      </c>
      <c r="H162" s="156">
        <v>0</v>
      </c>
      <c r="I162" s="156">
        <v>0</v>
      </c>
      <c r="J162" s="156"/>
      <c r="K162" s="156">
        <v>147</v>
      </c>
      <c r="L162" s="156">
        <v>147</v>
      </c>
      <c r="M162" s="156">
        <v>147</v>
      </c>
      <c r="N162" s="156">
        <v>147</v>
      </c>
      <c r="O162" s="156">
        <v>147</v>
      </c>
      <c r="P162" s="156">
        <v>147</v>
      </c>
      <c r="Q162" s="156">
        <v>147</v>
      </c>
      <c r="R162" s="156">
        <v>147</v>
      </c>
      <c r="S162" s="156">
        <v>148.47</v>
      </c>
      <c r="T162" s="156">
        <v>149.9547</v>
      </c>
      <c r="U162" s="156">
        <v>149.9547</v>
      </c>
      <c r="V162" s="156">
        <v>149.9547</v>
      </c>
      <c r="W162" s="156">
        <v>149.9547</v>
      </c>
      <c r="X162" s="156">
        <v>150</v>
      </c>
      <c r="Y162" s="156">
        <v>150</v>
      </c>
      <c r="Z162" s="156">
        <v>150</v>
      </c>
      <c r="AA162" s="156">
        <v>150.00000000000003</v>
      </c>
      <c r="AB162" s="156">
        <v>150</v>
      </c>
      <c r="AC162" s="156">
        <v>150.00000000000003</v>
      </c>
      <c r="AD162" s="156">
        <v>150.00000000000003</v>
      </c>
      <c r="AE162" s="156">
        <v>150</v>
      </c>
      <c r="AF162" s="156">
        <v>149.99999999999997</v>
      </c>
      <c r="AG162" s="156">
        <v>149.99999999999997</v>
      </c>
      <c r="AH162" s="156">
        <v>150</v>
      </c>
      <c r="AI162" s="156">
        <v>150.00000000000003</v>
      </c>
      <c r="AJ162" s="156">
        <v>150.00000000000003</v>
      </c>
      <c r="AK162" s="156">
        <v>149.99999999999997</v>
      </c>
      <c r="AL162" s="156">
        <v>150.00000000000003</v>
      </c>
      <c r="AM162" s="156">
        <v>150</v>
      </c>
      <c r="AN162" s="156">
        <v>150</v>
      </c>
      <c r="AO162" s="156">
        <v>150.00000000000003</v>
      </c>
      <c r="AP162" s="156">
        <v>150</v>
      </c>
      <c r="AQ162" s="156">
        <v>150.00000000000003</v>
      </c>
      <c r="AR162" s="156">
        <v>150</v>
      </c>
    </row>
    <row r="163" spans="1:44" x14ac:dyDescent="0.2">
      <c r="B163" s="154">
        <v>4</v>
      </c>
      <c r="C163" s="137" t="s">
        <v>226</v>
      </c>
      <c r="D163" s="155" t="s">
        <v>227</v>
      </c>
      <c r="G163" s="156">
        <v>0</v>
      </c>
      <c r="H163" s="156">
        <v>0</v>
      </c>
      <c r="I163" s="156">
        <v>0</v>
      </c>
      <c r="J163" s="156"/>
      <c r="K163" s="156">
        <v>64.660595019085704</v>
      </c>
      <c r="L163" s="156">
        <v>64.660595019085704</v>
      </c>
      <c r="M163" s="156">
        <v>64.660595019085704</v>
      </c>
      <c r="N163" s="156">
        <v>65.307200969276565</v>
      </c>
      <c r="O163" s="156">
        <v>65.960272978969329</v>
      </c>
      <c r="P163" s="156">
        <v>66.619875708759025</v>
      </c>
      <c r="Q163" s="156">
        <v>67.28607446584661</v>
      </c>
      <c r="R163" s="156">
        <v>67.958935210505075</v>
      </c>
      <c r="S163" s="156">
        <v>71.356881971030333</v>
      </c>
      <c r="T163" s="156">
        <v>74.924726069581851</v>
      </c>
      <c r="U163" s="156">
        <v>78.670962373060945</v>
      </c>
      <c r="V163" s="156">
        <v>82.604510491713995</v>
      </c>
      <c r="W163" s="156">
        <v>86.734736016299692</v>
      </c>
      <c r="X163" s="156">
        <v>89.336778096788692</v>
      </c>
      <c r="Y163" s="156">
        <v>92.016881439692355</v>
      </c>
      <c r="Z163" s="156">
        <v>94.777387882883133</v>
      </c>
      <c r="AA163" s="156">
        <v>97.620709519369626</v>
      </c>
      <c r="AB163" s="156">
        <v>100.54933080495071</v>
      </c>
      <c r="AC163" s="156">
        <v>103.56581072909924</v>
      </c>
      <c r="AD163" s="156">
        <v>106.67278505097222</v>
      </c>
      <c r="AE163" s="156">
        <v>109.87296860250139</v>
      </c>
      <c r="AF163" s="156">
        <v>113.16915766057643</v>
      </c>
      <c r="AG163" s="156">
        <v>116.56423239039373</v>
      </c>
      <c r="AH163" s="156">
        <v>120</v>
      </c>
      <c r="AI163" s="156">
        <v>120</v>
      </c>
      <c r="AJ163" s="156">
        <v>120</v>
      </c>
      <c r="AK163" s="156">
        <v>120</v>
      </c>
      <c r="AL163" s="156">
        <v>120</v>
      </c>
      <c r="AM163" s="156">
        <v>120</v>
      </c>
      <c r="AN163" s="156">
        <v>120</v>
      </c>
      <c r="AO163" s="156">
        <v>120</v>
      </c>
      <c r="AP163" s="156">
        <v>120</v>
      </c>
      <c r="AQ163" s="156">
        <v>120</v>
      </c>
      <c r="AR163" s="156">
        <v>120</v>
      </c>
    </row>
    <row r="164" spans="1:44" x14ac:dyDescent="0.2">
      <c r="B164" s="154">
        <v>5</v>
      </c>
      <c r="C164" s="137" t="s">
        <v>228</v>
      </c>
      <c r="D164" s="155" t="s">
        <v>221</v>
      </c>
      <c r="G164" s="156">
        <v>0</v>
      </c>
      <c r="H164" s="156">
        <v>0</v>
      </c>
      <c r="I164" s="156">
        <v>0</v>
      </c>
      <c r="J164" s="156"/>
      <c r="K164" s="156">
        <v>177.88180590687193</v>
      </c>
      <c r="L164" s="156">
        <v>177.88180590687193</v>
      </c>
      <c r="M164" s="156">
        <v>177.88180590687193</v>
      </c>
      <c r="N164" s="156">
        <v>177.88180590687193</v>
      </c>
      <c r="O164" s="156">
        <v>177.88180590687193</v>
      </c>
      <c r="P164" s="156">
        <v>177.88180590687193</v>
      </c>
      <c r="Q164" s="156">
        <v>177.88180590687193</v>
      </c>
      <c r="R164" s="156">
        <v>177.88180590687193</v>
      </c>
      <c r="S164" s="156">
        <v>177.88180590687193</v>
      </c>
      <c r="T164" s="156">
        <v>177.88180590687193</v>
      </c>
      <c r="U164" s="156">
        <v>177.88180590687193</v>
      </c>
      <c r="V164" s="156">
        <v>177.88180590687193</v>
      </c>
      <c r="W164" s="156">
        <v>177.88180590687193</v>
      </c>
      <c r="X164" s="156">
        <v>177.88180590687193</v>
      </c>
      <c r="Y164" s="156">
        <v>177.88180590687193</v>
      </c>
      <c r="Z164" s="156">
        <v>177.88180590687193</v>
      </c>
      <c r="AA164" s="156">
        <v>177.88180590687193</v>
      </c>
      <c r="AB164" s="156">
        <v>177.88180590687193</v>
      </c>
      <c r="AC164" s="156">
        <v>177.88180590687193</v>
      </c>
      <c r="AD164" s="156">
        <v>177.88180590687193</v>
      </c>
      <c r="AE164" s="156">
        <v>177.88180590687193</v>
      </c>
      <c r="AF164" s="156">
        <v>177.88180590687193</v>
      </c>
      <c r="AG164" s="156">
        <v>177.88180590687193</v>
      </c>
      <c r="AH164" s="156">
        <v>177.88180590687193</v>
      </c>
      <c r="AI164" s="156">
        <v>177.88180590687193</v>
      </c>
      <c r="AJ164" s="156">
        <v>177.88180590687193</v>
      </c>
      <c r="AK164" s="156">
        <v>177.88180590687193</v>
      </c>
      <c r="AL164" s="156">
        <v>177.88180590687193</v>
      </c>
      <c r="AM164" s="156">
        <v>177.88180590687193</v>
      </c>
      <c r="AN164" s="156">
        <v>177.88180590687193</v>
      </c>
      <c r="AO164" s="156">
        <v>177.88180590687193</v>
      </c>
      <c r="AP164" s="156">
        <v>177.88180590687193</v>
      </c>
      <c r="AQ164" s="156">
        <v>177.88180590687193</v>
      </c>
      <c r="AR164" s="156">
        <v>177.88180590687193</v>
      </c>
    </row>
    <row r="165" spans="1:44" x14ac:dyDescent="0.2">
      <c r="B165" s="154">
        <v>6</v>
      </c>
      <c r="C165" s="137" t="s">
        <v>229</v>
      </c>
      <c r="D165" s="155" t="s">
        <v>230</v>
      </c>
      <c r="G165" s="156">
        <v>0</v>
      </c>
      <c r="H165" s="156">
        <v>0</v>
      </c>
      <c r="I165" s="156">
        <v>0</v>
      </c>
      <c r="J165" s="156"/>
      <c r="K165" s="156">
        <v>115.24832293310669</v>
      </c>
      <c r="L165" s="156">
        <v>78.867969423067308</v>
      </c>
      <c r="M165" s="156">
        <v>81.528316808240618</v>
      </c>
      <c r="N165" s="156">
        <v>83.974166312487839</v>
      </c>
      <c r="O165" s="156">
        <v>86.493391301862474</v>
      </c>
      <c r="P165" s="156">
        <v>89.088193040918355</v>
      </c>
      <c r="Q165" s="156">
        <v>91.760838832145907</v>
      </c>
      <c r="R165" s="156">
        <v>94.513663997110285</v>
      </c>
      <c r="S165" s="156">
        <v>99.239347196965809</v>
      </c>
      <c r="T165" s="156">
        <v>104.20131455681411</v>
      </c>
      <c r="U165" s="156">
        <v>109.41138028465483</v>
      </c>
      <c r="V165" s="156">
        <v>114.88194929888758</v>
      </c>
      <c r="W165" s="156">
        <v>120</v>
      </c>
      <c r="X165" s="156">
        <v>120</v>
      </c>
      <c r="Y165" s="156">
        <v>120</v>
      </c>
      <c r="Z165" s="156">
        <v>120</v>
      </c>
      <c r="AA165" s="156">
        <v>120</v>
      </c>
      <c r="AB165" s="156">
        <v>120</v>
      </c>
      <c r="AC165" s="156">
        <v>120</v>
      </c>
      <c r="AD165" s="156">
        <v>120</v>
      </c>
      <c r="AE165" s="156">
        <v>120</v>
      </c>
      <c r="AF165" s="156">
        <v>120</v>
      </c>
      <c r="AG165" s="156">
        <v>120</v>
      </c>
      <c r="AH165" s="156">
        <v>120</v>
      </c>
      <c r="AI165" s="156">
        <v>120</v>
      </c>
      <c r="AJ165" s="156">
        <v>120</v>
      </c>
      <c r="AK165" s="156">
        <v>120</v>
      </c>
      <c r="AL165" s="156">
        <v>120</v>
      </c>
      <c r="AM165" s="156">
        <v>120</v>
      </c>
      <c r="AN165" s="156">
        <v>120</v>
      </c>
      <c r="AO165" s="156">
        <v>120</v>
      </c>
      <c r="AP165" s="156">
        <v>120</v>
      </c>
      <c r="AQ165" s="156">
        <v>120</v>
      </c>
      <c r="AR165" s="156">
        <v>120</v>
      </c>
    </row>
    <row r="166" spans="1:44" x14ac:dyDescent="0.2">
      <c r="B166" s="154">
        <v>7</v>
      </c>
      <c r="C166" s="137" t="s">
        <v>231</v>
      </c>
      <c r="D166" s="155" t="s">
        <v>225</v>
      </c>
      <c r="G166" s="156">
        <v>0</v>
      </c>
      <c r="H166" s="156">
        <v>0</v>
      </c>
      <c r="I166" s="156">
        <v>0</v>
      </c>
      <c r="J166" s="156"/>
      <c r="K166" s="156">
        <v>81.472396263492143</v>
      </c>
      <c r="L166" s="156">
        <v>96.175077530888643</v>
      </c>
      <c r="M166" s="156">
        <v>96.175077530888643</v>
      </c>
      <c r="N166" s="156">
        <v>97.136828306197529</v>
      </c>
      <c r="O166" s="156">
        <v>98.108196589259506</v>
      </c>
      <c r="P166" s="156">
        <v>99.089278555152106</v>
      </c>
      <c r="Q166" s="156">
        <v>100.08017134070363</v>
      </c>
      <c r="R166" s="156">
        <v>101.08097305411067</v>
      </c>
      <c r="S166" s="156">
        <v>104.11340224573399</v>
      </c>
      <c r="T166" s="156">
        <v>107.23680431310602</v>
      </c>
      <c r="U166" s="156">
        <v>110.4539084424992</v>
      </c>
      <c r="V166" s="156">
        <v>113.76752569577418</v>
      </c>
      <c r="W166" s="156">
        <v>117.18055146664742</v>
      </c>
      <c r="X166" s="156">
        <v>120</v>
      </c>
      <c r="Y166" s="156">
        <v>120</v>
      </c>
      <c r="Z166" s="156">
        <v>120</v>
      </c>
      <c r="AA166" s="156">
        <v>120</v>
      </c>
      <c r="AB166" s="156">
        <v>120</v>
      </c>
      <c r="AC166" s="156">
        <v>120.21459452268648</v>
      </c>
      <c r="AD166" s="156">
        <v>120.21498967162253</v>
      </c>
      <c r="AE166" s="156">
        <v>120.21538115579857</v>
      </c>
      <c r="AF166" s="156">
        <v>120.21576899745779</v>
      </c>
      <c r="AG166" s="156">
        <v>120.21615321896452</v>
      </c>
      <c r="AH166" s="156">
        <v>120.21653384279689</v>
      </c>
      <c r="AI166" s="156">
        <v>120.21676500777339</v>
      </c>
      <c r="AJ166" s="156">
        <v>120.21701474937963</v>
      </c>
      <c r="AK166" s="156">
        <v>120.21726175716209</v>
      </c>
      <c r="AL166" s="156">
        <v>120.21723324002065</v>
      </c>
      <c r="AM166" s="156">
        <v>120.21723324002063</v>
      </c>
      <c r="AN166" s="156">
        <v>120.21723324002065</v>
      </c>
      <c r="AO166" s="156">
        <v>120.21723324002059</v>
      </c>
      <c r="AP166" s="156">
        <v>120.21723324002065</v>
      </c>
      <c r="AQ166" s="156">
        <v>120.2172332400206</v>
      </c>
      <c r="AR166" s="156">
        <v>120.21723324002063</v>
      </c>
    </row>
    <row r="167" spans="1:44" x14ac:dyDescent="0.2">
      <c r="B167" s="154">
        <v>8</v>
      </c>
      <c r="C167" s="137" t="s">
        <v>232</v>
      </c>
      <c r="D167" s="155" t="s">
        <v>233</v>
      </c>
      <c r="G167" s="156">
        <v>0</v>
      </c>
      <c r="H167" s="156">
        <v>0</v>
      </c>
      <c r="I167" s="156">
        <v>0</v>
      </c>
      <c r="J167" s="156"/>
      <c r="K167" s="156">
        <v>139.20342735215803</v>
      </c>
      <c r="L167" s="156">
        <v>185.32935598546067</v>
      </c>
      <c r="M167" s="156">
        <v>185.32935598546067</v>
      </c>
      <c r="N167" s="156">
        <v>185.32935598546067</v>
      </c>
      <c r="O167" s="156">
        <v>185.32935598546067</v>
      </c>
      <c r="P167" s="156">
        <v>185.32935598546067</v>
      </c>
      <c r="Q167" s="156">
        <v>185.32935598546067</v>
      </c>
      <c r="R167" s="156">
        <v>185.32935598546067</v>
      </c>
      <c r="S167" s="156">
        <v>185.32935598546067</v>
      </c>
      <c r="T167" s="156">
        <v>185.32935598546067</v>
      </c>
      <c r="U167" s="156">
        <v>185.32935598546067</v>
      </c>
      <c r="V167" s="156">
        <v>185.32935598546067</v>
      </c>
      <c r="W167" s="156">
        <v>185.32935598546067</v>
      </c>
      <c r="X167" s="156">
        <v>185.32935598546067</v>
      </c>
      <c r="Y167" s="156">
        <v>185.32935598546067</v>
      </c>
      <c r="Z167" s="156">
        <v>185.32935598546067</v>
      </c>
      <c r="AA167" s="156">
        <v>185.32935598546067</v>
      </c>
      <c r="AB167" s="156">
        <v>185.32935598546067</v>
      </c>
      <c r="AC167" s="156">
        <v>185.32935598546067</v>
      </c>
      <c r="AD167" s="156">
        <v>185.32935598546067</v>
      </c>
      <c r="AE167" s="156">
        <v>185.32935598546067</v>
      </c>
      <c r="AF167" s="156">
        <v>185.32935598546067</v>
      </c>
      <c r="AG167" s="156">
        <v>185.32935598546067</v>
      </c>
      <c r="AH167" s="156">
        <v>185.32935598546067</v>
      </c>
      <c r="AI167" s="156">
        <v>185.32935598546067</v>
      </c>
      <c r="AJ167" s="156">
        <v>185.32935598546067</v>
      </c>
      <c r="AK167" s="156">
        <v>185.32935598546067</v>
      </c>
      <c r="AL167" s="156">
        <v>185.32935598546067</v>
      </c>
      <c r="AM167" s="156">
        <v>185.32935598546067</v>
      </c>
      <c r="AN167" s="156">
        <v>185.32935598546067</v>
      </c>
      <c r="AO167" s="156">
        <v>185.32935598546067</v>
      </c>
      <c r="AP167" s="156">
        <v>185.32935598546067</v>
      </c>
      <c r="AQ167" s="156">
        <v>185.32935598546067</v>
      </c>
      <c r="AR167" s="156">
        <v>185.32935598546067</v>
      </c>
    </row>
    <row r="168" spans="1:44" x14ac:dyDescent="0.2">
      <c r="B168" s="157"/>
      <c r="C168" s="158"/>
      <c r="D168" s="159"/>
      <c r="E168" s="158"/>
      <c r="F168" s="219"/>
      <c r="G168" s="170"/>
      <c r="H168" s="170"/>
      <c r="I168" s="170"/>
      <c r="J168" s="170"/>
      <c r="K168" s="170"/>
      <c r="L168" s="220"/>
      <c r="M168" s="170"/>
      <c r="N168" s="160"/>
      <c r="O168" s="160"/>
      <c r="P168" s="160"/>
      <c r="Q168" s="160"/>
      <c r="R168" s="160"/>
      <c r="S168" s="160"/>
      <c r="T168" s="160"/>
      <c r="U168" s="160"/>
      <c r="V168" s="160"/>
      <c r="W168" s="160"/>
      <c r="X168" s="160"/>
      <c r="Y168" s="160"/>
      <c r="Z168" s="160"/>
      <c r="AA168" s="160"/>
      <c r="AB168" s="160"/>
      <c r="AC168" s="160"/>
      <c r="AD168" s="160"/>
      <c r="AE168" s="160"/>
      <c r="AF168" s="160"/>
      <c r="AG168" s="160"/>
      <c r="AH168" s="160"/>
      <c r="AI168" s="160"/>
      <c r="AJ168" s="160"/>
      <c r="AK168" s="160"/>
      <c r="AL168" s="160"/>
      <c r="AM168" s="160"/>
      <c r="AN168" s="160"/>
      <c r="AO168" s="160"/>
      <c r="AP168" s="160"/>
      <c r="AQ168" s="160"/>
      <c r="AR168" s="160"/>
    </row>
    <row r="169" spans="1:44" x14ac:dyDescent="0.2">
      <c r="B169" s="221"/>
      <c r="C169" s="155"/>
      <c r="D169" s="155"/>
      <c r="E169" s="155"/>
      <c r="F169" s="155"/>
      <c r="G169" s="222"/>
      <c r="H169" s="222"/>
      <c r="I169" s="222"/>
      <c r="J169" s="222"/>
      <c r="K169" s="222"/>
      <c r="L169" s="223"/>
      <c r="M169" s="222"/>
      <c r="N169" s="222"/>
      <c r="O169" s="222"/>
      <c r="P169" s="222"/>
      <c r="Q169" s="222"/>
      <c r="R169" s="222"/>
      <c r="S169" s="222"/>
      <c r="T169" s="222"/>
      <c r="U169" s="222"/>
      <c r="V169" s="222"/>
      <c r="W169" s="224"/>
      <c r="X169" s="222"/>
      <c r="Y169" s="222"/>
      <c r="Z169" s="222"/>
      <c r="AA169" s="222"/>
      <c r="AB169" s="222"/>
      <c r="AC169" s="222"/>
      <c r="AD169" s="222"/>
      <c r="AE169" s="222"/>
      <c r="AF169" s="222"/>
      <c r="AG169" s="222"/>
      <c r="AH169" s="222"/>
      <c r="AI169" s="222"/>
      <c r="AJ169" s="222"/>
      <c r="AK169" s="222"/>
      <c r="AL169" s="222"/>
      <c r="AM169" s="222"/>
      <c r="AN169" s="222"/>
      <c r="AO169" s="222"/>
      <c r="AP169" s="222"/>
      <c r="AQ169" s="222"/>
      <c r="AR169" s="222"/>
    </row>
    <row r="170" spans="1:44" x14ac:dyDescent="0.2">
      <c r="B170" s="139"/>
      <c r="C170" s="140" t="s">
        <v>252</v>
      </c>
      <c r="D170" s="141"/>
      <c r="E170" s="140"/>
      <c r="F170" s="140"/>
      <c r="G170" s="142"/>
      <c r="H170" s="142"/>
      <c r="I170" s="139"/>
      <c r="J170" s="139"/>
      <c r="K170" s="139"/>
      <c r="L170" s="143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0"/>
      <c r="X170" s="144"/>
      <c r="Y170" s="144"/>
      <c r="Z170" s="144"/>
      <c r="AA170" s="144"/>
      <c r="AB170" s="144"/>
      <c r="AC170" s="144"/>
      <c r="AD170" s="144"/>
      <c r="AE170" s="144"/>
      <c r="AF170" s="144"/>
      <c r="AG170" s="144"/>
      <c r="AH170" s="144"/>
      <c r="AI170" s="144"/>
      <c r="AJ170" s="144"/>
      <c r="AK170" s="144"/>
      <c r="AL170" s="144"/>
      <c r="AM170" s="144"/>
      <c r="AN170" s="144"/>
      <c r="AO170" s="144"/>
      <c r="AP170" s="144"/>
      <c r="AQ170" s="144"/>
      <c r="AR170" s="144"/>
    </row>
    <row r="171" spans="1:44" x14ac:dyDescent="0.2">
      <c r="A171" s="145"/>
      <c r="B171" s="146"/>
      <c r="C171" s="146" t="s">
        <v>253</v>
      </c>
      <c r="D171" s="147" t="s">
        <v>219</v>
      </c>
      <c r="E171" s="146"/>
      <c r="F171" s="146"/>
      <c r="G171" s="148">
        <v>2019</v>
      </c>
      <c r="H171" s="148">
        <v>2020</v>
      </c>
      <c r="I171" s="148">
        <v>2021</v>
      </c>
      <c r="J171" s="148">
        <v>2022</v>
      </c>
      <c r="K171" s="148">
        <v>2023</v>
      </c>
      <c r="L171" s="149">
        <v>45352</v>
      </c>
      <c r="M171" s="148">
        <v>2024</v>
      </c>
      <c r="N171" s="146">
        <v>2025</v>
      </c>
      <c r="O171" s="146">
        <v>2026</v>
      </c>
      <c r="P171" s="146">
        <v>2027</v>
      </c>
      <c r="Q171" s="146">
        <v>2028</v>
      </c>
      <c r="R171" s="146">
        <v>2029</v>
      </c>
      <c r="S171" s="146">
        <v>2030</v>
      </c>
      <c r="T171" s="146">
        <v>2031</v>
      </c>
      <c r="U171" s="146">
        <v>2032</v>
      </c>
      <c r="V171" s="146">
        <v>2033</v>
      </c>
      <c r="W171" s="146">
        <v>2034</v>
      </c>
      <c r="X171" s="146">
        <v>2035</v>
      </c>
      <c r="Y171" s="146">
        <v>2036</v>
      </c>
      <c r="Z171" s="146">
        <v>2037</v>
      </c>
      <c r="AA171" s="146">
        <v>2038</v>
      </c>
      <c r="AB171" s="146">
        <v>2039</v>
      </c>
      <c r="AC171" s="146">
        <v>2040</v>
      </c>
      <c r="AD171" s="146">
        <v>2041</v>
      </c>
      <c r="AE171" s="146">
        <v>2042</v>
      </c>
      <c r="AF171" s="146">
        <v>2043</v>
      </c>
      <c r="AG171" s="146">
        <v>2044</v>
      </c>
      <c r="AH171" s="146">
        <v>2045</v>
      </c>
      <c r="AI171" s="146">
        <v>2046</v>
      </c>
      <c r="AJ171" s="146">
        <v>2047</v>
      </c>
      <c r="AK171" s="146">
        <v>2048</v>
      </c>
      <c r="AL171" s="146">
        <v>2049</v>
      </c>
      <c r="AM171" s="146">
        <v>2050</v>
      </c>
      <c r="AN171" s="146">
        <v>2051</v>
      </c>
      <c r="AO171" s="146">
        <v>2052</v>
      </c>
      <c r="AP171" s="146">
        <v>2053</v>
      </c>
      <c r="AQ171" s="146">
        <v>2054</v>
      </c>
      <c r="AR171" s="146">
        <v>2055</v>
      </c>
    </row>
    <row r="172" spans="1:44" x14ac:dyDescent="0.2">
      <c r="B172" s="150"/>
      <c r="C172" s="150"/>
      <c r="D172" s="151"/>
      <c r="E172" s="218"/>
      <c r="F172" s="150"/>
      <c r="G172" s="185" t="s">
        <v>243</v>
      </c>
      <c r="H172" s="185" t="s">
        <v>243</v>
      </c>
      <c r="I172" s="185" t="s">
        <v>243</v>
      </c>
      <c r="J172" s="185" t="s">
        <v>243</v>
      </c>
      <c r="K172" s="185" t="s">
        <v>243</v>
      </c>
      <c r="L172" s="185" t="s">
        <v>244</v>
      </c>
      <c r="M172" s="185" t="s">
        <v>245</v>
      </c>
      <c r="N172" s="150"/>
      <c r="O172" s="150"/>
      <c r="P172" s="150"/>
      <c r="Q172" s="150"/>
      <c r="R172" s="150"/>
      <c r="S172" s="150"/>
      <c r="T172" s="150"/>
      <c r="U172" s="150"/>
      <c r="V172" s="150"/>
      <c r="W172" s="150"/>
      <c r="X172" s="150"/>
      <c r="Y172" s="150"/>
      <c r="Z172" s="150"/>
      <c r="AA172" s="150"/>
      <c r="AB172" s="150"/>
      <c r="AC172" s="150"/>
      <c r="AD172" s="150"/>
      <c r="AE172" s="150"/>
      <c r="AF172" s="150"/>
      <c r="AG172" s="150"/>
      <c r="AH172" s="150"/>
      <c r="AI172" s="150"/>
      <c r="AJ172" s="150"/>
      <c r="AK172" s="150"/>
      <c r="AL172" s="150"/>
      <c r="AM172" s="150"/>
      <c r="AN172" s="150"/>
      <c r="AO172" s="150"/>
      <c r="AP172" s="150"/>
      <c r="AQ172" s="150"/>
      <c r="AR172" s="150"/>
    </row>
    <row r="173" spans="1:44" x14ac:dyDescent="0.2">
      <c r="B173" s="154">
        <v>1</v>
      </c>
      <c r="C173" s="137" t="s">
        <v>220</v>
      </c>
      <c r="D173" s="155" t="s">
        <v>221</v>
      </c>
      <c r="G173" s="178">
        <v>0</v>
      </c>
      <c r="H173" s="178">
        <v>0</v>
      </c>
      <c r="I173" s="178">
        <v>0</v>
      </c>
      <c r="J173" s="178"/>
      <c r="K173" s="178">
        <v>0.3756748858447489</v>
      </c>
      <c r="L173" s="178">
        <v>0.43261369399830935</v>
      </c>
      <c r="M173" s="178">
        <v>0.43261369399830935</v>
      </c>
      <c r="N173" s="178">
        <v>0.43261369399830935</v>
      </c>
      <c r="O173" s="178">
        <v>0.43261369399830935</v>
      </c>
      <c r="P173" s="178">
        <v>0.43261369399830935</v>
      </c>
      <c r="Q173" s="178">
        <v>0.43261369399830935</v>
      </c>
      <c r="R173" s="178">
        <v>0.43261369399830935</v>
      </c>
      <c r="S173" s="178">
        <v>0.43261369399830935</v>
      </c>
      <c r="T173" s="178">
        <v>0.45424437869822482</v>
      </c>
      <c r="U173" s="178">
        <v>0.47695659763313608</v>
      </c>
      <c r="V173" s="178">
        <v>0.50080442751479293</v>
      </c>
      <c r="W173" s="178">
        <v>0.52584464889053262</v>
      </c>
      <c r="X173" s="178">
        <v>0.54687843484615395</v>
      </c>
      <c r="Y173" s="178">
        <v>0.56875357224000012</v>
      </c>
      <c r="Z173" s="178">
        <v>0.59150371512960009</v>
      </c>
      <c r="AA173" s="178">
        <v>0.61516386373478404</v>
      </c>
      <c r="AB173" s="178">
        <v>0.63977041828417536</v>
      </c>
      <c r="AC173" s="178">
        <v>0.6510861184481147</v>
      </c>
      <c r="AD173" s="178">
        <v>0.6510861184481147</v>
      </c>
      <c r="AE173" s="178">
        <v>0.65108611844811459</v>
      </c>
      <c r="AF173" s="178">
        <v>0.65108611844811493</v>
      </c>
      <c r="AG173" s="178">
        <v>0.65108611844811481</v>
      </c>
      <c r="AH173" s="178">
        <v>0.65108611844811481</v>
      </c>
      <c r="AI173" s="178">
        <v>0.65108611844811481</v>
      </c>
      <c r="AJ173" s="178">
        <v>0.65108611844811481</v>
      </c>
      <c r="AK173" s="178">
        <v>0.6510861184481147</v>
      </c>
      <c r="AL173" s="178">
        <v>0.6510861184481147</v>
      </c>
      <c r="AM173" s="178">
        <v>0.6510861184481147</v>
      </c>
      <c r="AN173" s="178">
        <v>0.65108611844811493</v>
      </c>
      <c r="AO173" s="178">
        <v>0.65108611844811481</v>
      </c>
      <c r="AP173" s="178">
        <v>0.65108611844811481</v>
      </c>
      <c r="AQ173" s="178">
        <v>0.65108611844811459</v>
      </c>
      <c r="AR173" s="178">
        <v>0.65108611844811493</v>
      </c>
    </row>
    <row r="174" spans="1:44" x14ac:dyDescent="0.2">
      <c r="B174" s="154">
        <v>2</v>
      </c>
      <c r="C174" s="137" t="s">
        <v>222</v>
      </c>
      <c r="D174" s="155" t="s">
        <v>223</v>
      </c>
      <c r="G174" s="178">
        <v>0</v>
      </c>
      <c r="H174" s="178">
        <v>0</v>
      </c>
      <c r="I174" s="178">
        <v>0</v>
      </c>
      <c r="J174" s="178"/>
      <c r="K174" s="178">
        <v>0</v>
      </c>
      <c r="L174" s="178">
        <v>0</v>
      </c>
      <c r="M174" s="178">
        <v>0</v>
      </c>
      <c r="N174" s="178">
        <v>0</v>
      </c>
      <c r="O174" s="178">
        <v>0</v>
      </c>
      <c r="P174" s="178">
        <v>0</v>
      </c>
      <c r="Q174" s="178">
        <v>0</v>
      </c>
      <c r="R174" s="178">
        <v>0</v>
      </c>
      <c r="S174" s="178">
        <v>0</v>
      </c>
      <c r="T174" s="178">
        <v>0</v>
      </c>
      <c r="U174" s="178">
        <v>0</v>
      </c>
      <c r="V174" s="178">
        <v>0</v>
      </c>
      <c r="W174" s="178">
        <v>0</v>
      </c>
      <c r="X174" s="178">
        <v>0</v>
      </c>
      <c r="Y174" s="178">
        <v>0</v>
      </c>
      <c r="Z174" s="178">
        <v>0</v>
      </c>
      <c r="AA174" s="178">
        <v>0</v>
      </c>
      <c r="AB174" s="178">
        <v>0</v>
      </c>
      <c r="AC174" s="178">
        <v>0</v>
      </c>
      <c r="AD174" s="178">
        <v>0</v>
      </c>
      <c r="AE174" s="178">
        <v>0</v>
      </c>
      <c r="AF174" s="178">
        <v>0</v>
      </c>
      <c r="AG174" s="178">
        <v>0</v>
      </c>
      <c r="AH174" s="178">
        <v>0</v>
      </c>
      <c r="AI174" s="178">
        <v>0</v>
      </c>
      <c r="AJ174" s="178">
        <v>0</v>
      </c>
      <c r="AK174" s="178">
        <v>0</v>
      </c>
      <c r="AL174" s="178">
        <v>0</v>
      </c>
      <c r="AM174" s="178">
        <v>0</v>
      </c>
      <c r="AN174" s="178">
        <v>0</v>
      </c>
      <c r="AO174" s="178">
        <v>0</v>
      </c>
      <c r="AP174" s="178">
        <v>0</v>
      </c>
      <c r="AQ174" s="178">
        <v>0</v>
      </c>
      <c r="AR174" s="178">
        <v>0</v>
      </c>
    </row>
    <row r="175" spans="1:44" x14ac:dyDescent="0.2">
      <c r="B175" s="154">
        <v>3</v>
      </c>
      <c r="C175" s="137" t="s">
        <v>224</v>
      </c>
      <c r="D175" s="155" t="s">
        <v>225</v>
      </c>
      <c r="G175" s="178">
        <v>0</v>
      </c>
      <c r="H175" s="178">
        <v>0</v>
      </c>
      <c r="I175" s="178">
        <v>0</v>
      </c>
      <c r="J175" s="178"/>
      <c r="K175" s="178">
        <v>1.2599999999999998</v>
      </c>
      <c r="L175" s="178">
        <v>1.26</v>
      </c>
      <c r="M175" s="178">
        <v>1.2599999999999998</v>
      </c>
      <c r="N175" s="178">
        <v>1.26</v>
      </c>
      <c r="O175" s="178">
        <v>1.2599999999999998</v>
      </c>
      <c r="P175" s="178">
        <v>1.2599999999999998</v>
      </c>
      <c r="Q175" s="178">
        <v>1.2600000000000002</v>
      </c>
      <c r="R175" s="178">
        <v>1.2600000000000002</v>
      </c>
      <c r="S175" s="178">
        <v>1.3103999999999998</v>
      </c>
      <c r="T175" s="178">
        <v>1.3104</v>
      </c>
      <c r="U175" s="178">
        <v>1.3104000000000002</v>
      </c>
      <c r="V175" s="178">
        <v>1.3104000000000002</v>
      </c>
      <c r="W175" s="178">
        <v>1.3104000000000002</v>
      </c>
      <c r="X175" s="178">
        <v>1.3104000000000002</v>
      </c>
      <c r="Y175" s="178">
        <v>1.3104</v>
      </c>
      <c r="Z175" s="178">
        <v>1.3104</v>
      </c>
      <c r="AA175" s="178">
        <v>1.3104</v>
      </c>
      <c r="AB175" s="178">
        <v>1.3103999999999998</v>
      </c>
      <c r="AC175" s="178">
        <v>1.3104</v>
      </c>
      <c r="AD175" s="178">
        <v>1.3104</v>
      </c>
      <c r="AE175" s="178">
        <v>1.3103999999999998</v>
      </c>
      <c r="AF175" s="178">
        <v>1.3104</v>
      </c>
      <c r="AG175" s="178">
        <v>1.3103999999999998</v>
      </c>
      <c r="AH175" s="178">
        <v>1.3104</v>
      </c>
      <c r="AI175" s="178">
        <v>1.3103999999999998</v>
      </c>
      <c r="AJ175" s="178">
        <v>1.3103999999999998</v>
      </c>
      <c r="AK175" s="178">
        <v>1.3103999999999998</v>
      </c>
      <c r="AL175" s="178">
        <v>1.3104000000000002</v>
      </c>
      <c r="AM175" s="178">
        <v>1.3104000000000002</v>
      </c>
      <c r="AN175" s="178">
        <v>1.3103999999999998</v>
      </c>
      <c r="AO175" s="178">
        <v>1.3103999999999998</v>
      </c>
      <c r="AP175" s="178">
        <v>1.3104</v>
      </c>
      <c r="AQ175" s="178">
        <v>1.3104</v>
      </c>
      <c r="AR175" s="178">
        <v>1.3104</v>
      </c>
    </row>
    <row r="176" spans="1:44" x14ac:dyDescent="0.2">
      <c r="B176" s="154">
        <v>4</v>
      </c>
      <c r="C176" s="137" t="s">
        <v>226</v>
      </c>
      <c r="D176" s="155" t="s">
        <v>227</v>
      </c>
      <c r="G176" s="178">
        <v>0</v>
      </c>
      <c r="H176" s="178">
        <v>0</v>
      </c>
      <c r="I176" s="178">
        <v>0</v>
      </c>
      <c r="J176" s="178"/>
      <c r="K176" s="178">
        <v>1.1670240444300515</v>
      </c>
      <c r="L176" s="178">
        <v>1.1670240444300515</v>
      </c>
      <c r="M176" s="178">
        <v>1.1670240444300515</v>
      </c>
      <c r="N176" s="178">
        <v>1.1670240444300515</v>
      </c>
      <c r="O176" s="178">
        <v>1.1670240444300515</v>
      </c>
      <c r="P176" s="178">
        <v>1.1670240444300515</v>
      </c>
      <c r="Q176" s="178">
        <v>1.1670240444300515</v>
      </c>
      <c r="R176" s="178">
        <v>1.1670240444300515</v>
      </c>
      <c r="S176" s="178">
        <v>1.1670240444300515</v>
      </c>
      <c r="T176" s="178">
        <v>1.1670240444300515</v>
      </c>
      <c r="U176" s="178">
        <v>1.1670240444300515</v>
      </c>
      <c r="V176" s="178">
        <v>1.1670240444300515</v>
      </c>
      <c r="W176" s="178">
        <v>1.1670240444300515</v>
      </c>
      <c r="X176" s="178">
        <v>1.1670240444300515</v>
      </c>
      <c r="Y176" s="178">
        <v>1.1670240444300515</v>
      </c>
      <c r="Z176" s="178">
        <v>1.1670240444300515</v>
      </c>
      <c r="AA176" s="178">
        <v>1.1670240444300515</v>
      </c>
      <c r="AB176" s="178">
        <v>1.1670240444300515</v>
      </c>
      <c r="AC176" s="178">
        <v>1.1670240444300515</v>
      </c>
      <c r="AD176" s="178">
        <v>1.1670240444300515</v>
      </c>
      <c r="AE176" s="178">
        <v>1.1670240444300515</v>
      </c>
      <c r="AF176" s="178">
        <v>1.1670240444300515</v>
      </c>
      <c r="AG176" s="178">
        <v>1.1670240444300515</v>
      </c>
      <c r="AH176" s="178">
        <v>1.1670240444300515</v>
      </c>
      <c r="AI176" s="178">
        <v>1.1670240444300515</v>
      </c>
      <c r="AJ176" s="178">
        <v>1.1670240444300515</v>
      </c>
      <c r="AK176" s="178">
        <v>1.1670240444300515</v>
      </c>
      <c r="AL176" s="178">
        <v>1.1670240444300515</v>
      </c>
      <c r="AM176" s="178">
        <v>1.1670240444300515</v>
      </c>
      <c r="AN176" s="178">
        <v>1.1670240444300515</v>
      </c>
      <c r="AO176" s="178">
        <v>1.1670240444300515</v>
      </c>
      <c r="AP176" s="178">
        <v>1.1670240444300515</v>
      </c>
      <c r="AQ176" s="178">
        <v>1.1670240444300515</v>
      </c>
      <c r="AR176" s="178">
        <v>1.1670240444300515</v>
      </c>
    </row>
    <row r="177" spans="1:44" x14ac:dyDescent="0.2">
      <c r="B177" s="154">
        <v>5</v>
      </c>
      <c r="C177" s="137" t="s">
        <v>228</v>
      </c>
      <c r="D177" s="155" t="s">
        <v>221</v>
      </c>
      <c r="G177" s="178">
        <v>0</v>
      </c>
      <c r="H177" s="178">
        <v>0</v>
      </c>
      <c r="I177" s="178">
        <v>0</v>
      </c>
      <c r="J177" s="178"/>
      <c r="K177" s="178">
        <v>2.0112538515100655</v>
      </c>
      <c r="L177" s="178">
        <v>2.0112538515100655</v>
      </c>
      <c r="M177" s="178">
        <v>2.0112538515100655</v>
      </c>
      <c r="N177" s="178">
        <v>2.0112538515100655</v>
      </c>
      <c r="O177" s="178">
        <v>2.0112538515100655</v>
      </c>
      <c r="P177" s="178">
        <v>2.0112538515100655</v>
      </c>
      <c r="Q177" s="178">
        <v>2.0112538515100655</v>
      </c>
      <c r="R177" s="178">
        <v>2.0112538515100655</v>
      </c>
      <c r="S177" s="178">
        <v>2.0313663900251662</v>
      </c>
      <c r="T177" s="178">
        <v>2.0313663900251662</v>
      </c>
      <c r="U177" s="178">
        <v>2.0313663900251662</v>
      </c>
      <c r="V177" s="178">
        <v>2.0313663900251662</v>
      </c>
      <c r="W177" s="178">
        <v>2.0313663900251662</v>
      </c>
      <c r="X177" s="178">
        <v>2.0313663900251662</v>
      </c>
      <c r="Y177" s="178">
        <v>2.0313663900251662</v>
      </c>
      <c r="Z177" s="178">
        <v>2.0313663900251662</v>
      </c>
      <c r="AA177" s="178">
        <v>2.0313663900251662</v>
      </c>
      <c r="AB177" s="178">
        <v>2.0313663900251662</v>
      </c>
      <c r="AC177" s="178">
        <v>2.0313663900251662</v>
      </c>
      <c r="AD177" s="178">
        <v>2.0313663900251662</v>
      </c>
      <c r="AE177" s="178">
        <v>2.0313663900251662</v>
      </c>
      <c r="AF177" s="178">
        <v>2.0313663900251662</v>
      </c>
      <c r="AG177" s="178">
        <v>2.0313663900251662</v>
      </c>
      <c r="AH177" s="178">
        <v>2.0313663900251662</v>
      </c>
      <c r="AI177" s="178">
        <v>2.0313663900251662</v>
      </c>
      <c r="AJ177" s="178">
        <v>2.0313663900251662</v>
      </c>
      <c r="AK177" s="178">
        <v>2.0313663900251662</v>
      </c>
      <c r="AL177" s="178">
        <v>2.0313663900251662</v>
      </c>
      <c r="AM177" s="178">
        <v>2.0313663900251662</v>
      </c>
      <c r="AN177" s="178">
        <v>2.0313663900251662</v>
      </c>
      <c r="AO177" s="178">
        <v>2.0313663900251662</v>
      </c>
      <c r="AP177" s="178">
        <v>2.0313663900251662</v>
      </c>
      <c r="AQ177" s="178">
        <v>2.0313663900251662</v>
      </c>
      <c r="AR177" s="178">
        <v>2.0313663900251662</v>
      </c>
    </row>
    <row r="178" spans="1:44" x14ac:dyDescent="0.2">
      <c r="B178" s="154">
        <v>6</v>
      </c>
      <c r="C178" s="137" t="s">
        <v>229</v>
      </c>
      <c r="D178" s="155" t="s">
        <v>230</v>
      </c>
      <c r="G178" s="178">
        <v>0</v>
      </c>
      <c r="H178" s="178">
        <v>0</v>
      </c>
      <c r="I178" s="178">
        <v>0</v>
      </c>
      <c r="J178" s="178"/>
      <c r="K178" s="178">
        <v>0.51007256795671696</v>
      </c>
      <c r="L178" s="178">
        <v>0.4053795501048913</v>
      </c>
      <c r="M178" s="178">
        <v>0.4053795501048913</v>
      </c>
      <c r="N178" s="178">
        <v>0.42564852761013589</v>
      </c>
      <c r="O178" s="178">
        <v>0.4469309539906427</v>
      </c>
      <c r="P178" s="178">
        <v>0.46927750169017485</v>
      </c>
      <c r="Q178" s="178">
        <v>0.4927413767746836</v>
      </c>
      <c r="R178" s="178">
        <v>0.51737844561341784</v>
      </c>
      <c r="S178" s="178">
        <v>0.55876872126249133</v>
      </c>
      <c r="T178" s="178">
        <v>0.60347021896349062</v>
      </c>
      <c r="U178" s="178">
        <v>0.65174783648056989</v>
      </c>
      <c r="V178" s="178">
        <v>0.70388766339901554</v>
      </c>
      <c r="W178" s="178">
        <v>0.76019867647093686</v>
      </c>
      <c r="X178" s="178">
        <v>0.7906066235297744</v>
      </c>
      <c r="Y178" s="178">
        <v>0.82223088847096537</v>
      </c>
      <c r="Z178" s="178">
        <v>0.85512012400980397</v>
      </c>
      <c r="AA178" s="178">
        <v>0.88932492897019622</v>
      </c>
      <c r="AB178" s="178">
        <v>0.92489792612900412</v>
      </c>
      <c r="AC178" s="178">
        <v>0.92489792612900412</v>
      </c>
      <c r="AD178" s="178">
        <v>0.92489792612900412</v>
      </c>
      <c r="AE178" s="178">
        <v>0.92489792612900412</v>
      </c>
      <c r="AF178" s="178">
        <v>0.92489792612900412</v>
      </c>
      <c r="AG178" s="178">
        <v>0.92489792612900412</v>
      </c>
      <c r="AH178" s="178">
        <v>0.92489792612900412</v>
      </c>
      <c r="AI178" s="178">
        <v>0.92489792612900412</v>
      </c>
      <c r="AJ178" s="178">
        <v>0.92489792612900412</v>
      </c>
      <c r="AK178" s="178">
        <v>0.92489792612900412</v>
      </c>
      <c r="AL178" s="178">
        <v>0.92489792612900412</v>
      </c>
      <c r="AM178" s="178">
        <v>0.92489792612900412</v>
      </c>
      <c r="AN178" s="178">
        <v>0.92489792612900412</v>
      </c>
      <c r="AO178" s="178">
        <v>0.92489792612900412</v>
      </c>
      <c r="AP178" s="178">
        <v>0.92489792612900412</v>
      </c>
      <c r="AQ178" s="178">
        <v>0.92489792612900412</v>
      </c>
      <c r="AR178" s="178">
        <v>0.92489792612900412</v>
      </c>
    </row>
    <row r="179" spans="1:44" x14ac:dyDescent="0.2">
      <c r="B179" s="154">
        <v>7</v>
      </c>
      <c r="C179" s="137" t="s">
        <v>231</v>
      </c>
      <c r="D179" s="155" t="s">
        <v>225</v>
      </c>
      <c r="G179" s="178">
        <v>0</v>
      </c>
      <c r="H179" s="178">
        <v>0</v>
      </c>
      <c r="I179" s="178">
        <v>0</v>
      </c>
      <c r="J179" s="178"/>
      <c r="K179" s="178">
        <v>1.245595890410959</v>
      </c>
      <c r="L179" s="178">
        <v>1.518786776859504</v>
      </c>
      <c r="M179" s="178">
        <v>1.518786776859504</v>
      </c>
      <c r="N179" s="178">
        <v>1.5339746446280991</v>
      </c>
      <c r="O179" s="178">
        <v>1.5493143910743801</v>
      </c>
      <c r="P179" s="178">
        <v>1.5648075349851238</v>
      </c>
      <c r="Q179" s="178">
        <v>1.5804556103349752</v>
      </c>
      <c r="R179" s="178">
        <v>1.5962601664383249</v>
      </c>
      <c r="S179" s="178">
        <v>1.6441479714314746</v>
      </c>
      <c r="T179" s="178">
        <v>1.693472410574419</v>
      </c>
      <c r="U179" s="178">
        <v>1.7442765828916516</v>
      </c>
      <c r="V179" s="178">
        <v>1.7966048803784012</v>
      </c>
      <c r="W179" s="178">
        <v>1.8505030267897533</v>
      </c>
      <c r="X179" s="178">
        <v>1.8875130873255483</v>
      </c>
      <c r="Y179" s="178">
        <v>1.8875130873255483</v>
      </c>
      <c r="Z179" s="178">
        <v>1.8875130873255483</v>
      </c>
      <c r="AA179" s="178">
        <v>1.8875130873255483</v>
      </c>
      <c r="AB179" s="178">
        <v>1.8875130873255483</v>
      </c>
      <c r="AC179" s="178">
        <v>1.8875130873255483</v>
      </c>
      <c r="AD179" s="178">
        <v>1.8875130873255483</v>
      </c>
      <c r="AE179" s="178">
        <v>1.8875130873255483</v>
      </c>
      <c r="AF179" s="178">
        <v>1.8875130873255483</v>
      </c>
      <c r="AG179" s="178">
        <v>1.8875130873255483</v>
      </c>
      <c r="AH179" s="178">
        <v>1.8875130873255483</v>
      </c>
      <c r="AI179" s="178">
        <v>1.8875130873255483</v>
      </c>
      <c r="AJ179" s="178">
        <v>1.8875130873255483</v>
      </c>
      <c r="AK179" s="178">
        <v>1.8875130873255483</v>
      </c>
      <c r="AL179" s="178">
        <v>1.8875130873255483</v>
      </c>
      <c r="AM179" s="178">
        <v>1.8875130873255483</v>
      </c>
      <c r="AN179" s="178">
        <v>1.8875130873255483</v>
      </c>
      <c r="AO179" s="178">
        <v>1.8875130873255483</v>
      </c>
      <c r="AP179" s="178">
        <v>1.8875130873255483</v>
      </c>
      <c r="AQ179" s="178">
        <v>1.8875130873255483</v>
      </c>
      <c r="AR179" s="178">
        <v>1.8875130873255483</v>
      </c>
    </row>
    <row r="180" spans="1:44" x14ac:dyDescent="0.2">
      <c r="B180" s="154">
        <v>8</v>
      </c>
      <c r="C180" s="137" t="s">
        <v>232</v>
      </c>
      <c r="D180" s="155" t="s">
        <v>233</v>
      </c>
      <c r="G180" s="178">
        <v>0</v>
      </c>
      <c r="H180" s="178">
        <v>0</v>
      </c>
      <c r="I180" s="178">
        <v>0</v>
      </c>
      <c r="J180" s="178"/>
      <c r="K180" s="178">
        <v>2.9477289113193943</v>
      </c>
      <c r="L180" s="178">
        <v>2.9085239085239087</v>
      </c>
      <c r="M180" s="178">
        <v>2.9085239085239087</v>
      </c>
      <c r="N180" s="178">
        <v>2.9085239085239087</v>
      </c>
      <c r="O180" s="178">
        <v>2.9085239085239087</v>
      </c>
      <c r="P180" s="178">
        <v>2.9085239085239087</v>
      </c>
      <c r="Q180" s="178">
        <v>2.9085239085239087</v>
      </c>
      <c r="R180" s="178">
        <v>2.9085239085239087</v>
      </c>
      <c r="S180" s="178">
        <v>2.9085239085239087</v>
      </c>
      <c r="T180" s="178">
        <v>2.9085239085239087</v>
      </c>
      <c r="U180" s="178">
        <v>2.9085239085239087</v>
      </c>
      <c r="V180" s="178">
        <v>2.9085239085239087</v>
      </c>
      <c r="W180" s="178">
        <v>2.9085239085239087</v>
      </c>
      <c r="X180" s="178">
        <v>2.9085239085239087</v>
      </c>
      <c r="Y180" s="178">
        <v>2.9085239085239087</v>
      </c>
      <c r="Z180" s="178">
        <v>2.9085239085239087</v>
      </c>
      <c r="AA180" s="178">
        <v>2.9085239085239087</v>
      </c>
      <c r="AB180" s="178">
        <v>2.9085239085239087</v>
      </c>
      <c r="AC180" s="178">
        <v>2.9085239085239087</v>
      </c>
      <c r="AD180" s="178">
        <v>2.9085239085239087</v>
      </c>
      <c r="AE180" s="178">
        <v>2.9085239085239087</v>
      </c>
      <c r="AF180" s="178">
        <v>2.9085239085239087</v>
      </c>
      <c r="AG180" s="178">
        <v>2.9085239085239087</v>
      </c>
      <c r="AH180" s="178">
        <v>2.9085239085239087</v>
      </c>
      <c r="AI180" s="178">
        <v>2.9085239085239087</v>
      </c>
      <c r="AJ180" s="178">
        <v>2.9085239085239087</v>
      </c>
      <c r="AK180" s="178">
        <v>2.9085239085239087</v>
      </c>
      <c r="AL180" s="178">
        <v>2.9085239085239087</v>
      </c>
      <c r="AM180" s="178">
        <v>2.9085239085239087</v>
      </c>
      <c r="AN180" s="178">
        <v>2.9085239085239087</v>
      </c>
      <c r="AO180" s="178">
        <v>2.9085239085239087</v>
      </c>
      <c r="AP180" s="178">
        <v>2.9085239085239087</v>
      </c>
      <c r="AQ180" s="178">
        <v>2.9085239085239087</v>
      </c>
      <c r="AR180" s="178">
        <v>2.9085239085239087</v>
      </c>
    </row>
    <row r="181" spans="1:44" x14ac:dyDescent="0.2">
      <c r="B181" s="157"/>
      <c r="C181" s="158"/>
      <c r="D181" s="159"/>
      <c r="E181" s="158"/>
      <c r="F181" s="219"/>
      <c r="G181" s="170"/>
      <c r="H181" s="170"/>
      <c r="I181" s="170"/>
      <c r="J181" s="170"/>
      <c r="K181" s="170"/>
      <c r="L181" s="220"/>
      <c r="M181" s="170"/>
      <c r="N181" s="225"/>
      <c r="O181" s="225"/>
      <c r="P181" s="225"/>
      <c r="Q181" s="225"/>
      <c r="R181" s="225"/>
      <c r="S181" s="170"/>
      <c r="T181" s="170"/>
      <c r="U181" s="170"/>
      <c r="V181" s="170"/>
      <c r="W181" s="170"/>
      <c r="X181" s="170"/>
      <c r="Y181" s="170"/>
      <c r="Z181" s="170"/>
      <c r="AA181" s="170"/>
      <c r="AB181" s="170"/>
      <c r="AC181" s="170"/>
      <c r="AD181" s="170"/>
      <c r="AE181" s="170"/>
      <c r="AF181" s="170"/>
      <c r="AG181" s="170"/>
      <c r="AH181" s="170"/>
      <c r="AI181" s="170"/>
      <c r="AJ181" s="170"/>
      <c r="AK181" s="170"/>
      <c r="AL181" s="170"/>
      <c r="AM181" s="170"/>
      <c r="AN181" s="170"/>
      <c r="AO181" s="170"/>
      <c r="AP181" s="170"/>
      <c r="AQ181" s="170"/>
      <c r="AR181" s="170"/>
    </row>
    <row r="182" spans="1:44" x14ac:dyDescent="0.2">
      <c r="B182" s="171"/>
      <c r="C182" s="172"/>
      <c r="D182" s="173"/>
      <c r="E182" s="172"/>
      <c r="F182" s="172"/>
      <c r="G182" s="171"/>
      <c r="H182" s="171"/>
      <c r="I182" s="174"/>
      <c r="J182" s="174"/>
      <c r="K182" s="174"/>
      <c r="L182" s="175"/>
      <c r="M182" s="226"/>
      <c r="N182" s="226"/>
      <c r="O182" s="226"/>
      <c r="P182" s="226"/>
      <c r="Q182" s="226"/>
      <c r="R182" s="226"/>
      <c r="S182" s="226"/>
      <c r="T182" s="226"/>
      <c r="U182" s="226"/>
      <c r="V182" s="226"/>
      <c r="W182" s="226"/>
      <c r="X182" s="226"/>
      <c r="Y182" s="226"/>
      <c r="Z182" s="226"/>
      <c r="AA182" s="226"/>
      <c r="AB182" s="226"/>
      <c r="AC182" s="226"/>
      <c r="AD182" s="226"/>
      <c r="AE182" s="226"/>
      <c r="AF182" s="226"/>
      <c r="AG182" s="226"/>
      <c r="AH182" s="226"/>
      <c r="AI182" s="226"/>
      <c r="AJ182" s="226"/>
      <c r="AK182" s="226"/>
      <c r="AL182" s="226"/>
      <c r="AM182" s="226"/>
      <c r="AN182" s="226"/>
      <c r="AO182" s="226"/>
      <c r="AP182" s="226"/>
      <c r="AQ182" s="226"/>
      <c r="AR182" s="226"/>
    </row>
    <row r="183" spans="1:44" x14ac:dyDescent="0.2">
      <c r="B183" s="139"/>
      <c r="C183" s="140" t="s">
        <v>254</v>
      </c>
      <c r="D183" s="141"/>
      <c r="E183" s="140"/>
      <c r="F183" s="140"/>
      <c r="G183" s="142"/>
      <c r="H183" s="142"/>
      <c r="I183" s="139"/>
      <c r="J183" s="139"/>
      <c r="K183" s="139"/>
      <c r="L183" s="143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0"/>
      <c r="X183" s="144"/>
      <c r="Y183" s="144"/>
      <c r="Z183" s="144"/>
      <c r="AA183" s="144"/>
      <c r="AB183" s="144"/>
      <c r="AC183" s="144"/>
      <c r="AD183" s="144"/>
      <c r="AE183" s="144"/>
      <c r="AF183" s="144"/>
      <c r="AG183" s="144"/>
      <c r="AH183" s="144"/>
      <c r="AI183" s="144"/>
      <c r="AJ183" s="144"/>
      <c r="AK183" s="144"/>
      <c r="AL183" s="144"/>
      <c r="AM183" s="144"/>
      <c r="AN183" s="144"/>
      <c r="AO183" s="144"/>
      <c r="AP183" s="144"/>
      <c r="AQ183" s="144"/>
      <c r="AR183" s="144"/>
    </row>
    <row r="184" spans="1:44" x14ac:dyDescent="0.2">
      <c r="A184" s="145"/>
      <c r="B184" s="146"/>
      <c r="C184" s="146" t="s">
        <v>218</v>
      </c>
      <c r="D184" s="147" t="s">
        <v>219</v>
      </c>
      <c r="E184" s="146"/>
      <c r="F184" s="146"/>
      <c r="G184" s="148">
        <v>2019</v>
      </c>
      <c r="H184" s="148">
        <v>2020</v>
      </c>
      <c r="I184" s="148">
        <v>2021</v>
      </c>
      <c r="J184" s="148">
        <v>2022</v>
      </c>
      <c r="K184" s="148">
        <v>2023</v>
      </c>
      <c r="L184" s="149">
        <v>45352</v>
      </c>
      <c r="M184" s="148">
        <v>2024</v>
      </c>
      <c r="N184" s="146">
        <v>2025</v>
      </c>
      <c r="O184" s="146">
        <v>2026</v>
      </c>
      <c r="P184" s="146">
        <v>2027</v>
      </c>
      <c r="Q184" s="146">
        <v>2028</v>
      </c>
      <c r="R184" s="146">
        <v>2029</v>
      </c>
      <c r="S184" s="146">
        <v>2030</v>
      </c>
      <c r="T184" s="146">
        <v>2031</v>
      </c>
      <c r="U184" s="146">
        <v>2032</v>
      </c>
      <c r="V184" s="146">
        <v>2033</v>
      </c>
      <c r="W184" s="146">
        <v>2034</v>
      </c>
      <c r="X184" s="146">
        <v>2035</v>
      </c>
      <c r="Y184" s="146">
        <v>2036</v>
      </c>
      <c r="Z184" s="146">
        <v>2037</v>
      </c>
      <c r="AA184" s="146">
        <v>2038</v>
      </c>
      <c r="AB184" s="146">
        <v>2039</v>
      </c>
      <c r="AC184" s="146">
        <v>2040</v>
      </c>
      <c r="AD184" s="146">
        <v>2041</v>
      </c>
      <c r="AE184" s="146">
        <v>2042</v>
      </c>
      <c r="AF184" s="146">
        <v>2043</v>
      </c>
      <c r="AG184" s="146">
        <v>2044</v>
      </c>
      <c r="AH184" s="146">
        <v>2045</v>
      </c>
      <c r="AI184" s="146">
        <v>2046</v>
      </c>
      <c r="AJ184" s="146">
        <v>2047</v>
      </c>
      <c r="AK184" s="146">
        <v>2048</v>
      </c>
      <c r="AL184" s="146">
        <v>2049</v>
      </c>
      <c r="AM184" s="146">
        <v>2050</v>
      </c>
      <c r="AN184" s="146">
        <v>2051</v>
      </c>
      <c r="AO184" s="146">
        <v>2052</v>
      </c>
      <c r="AP184" s="146">
        <v>2053</v>
      </c>
      <c r="AQ184" s="146">
        <v>2054</v>
      </c>
      <c r="AR184" s="146">
        <v>2055</v>
      </c>
    </row>
    <row r="185" spans="1:44" x14ac:dyDescent="0.2">
      <c r="B185" s="150"/>
      <c r="C185" s="150"/>
      <c r="D185" s="151"/>
      <c r="E185" s="218"/>
      <c r="F185" s="150"/>
      <c r="G185" s="185" t="s">
        <v>243</v>
      </c>
      <c r="H185" s="185" t="s">
        <v>243</v>
      </c>
      <c r="I185" s="185" t="s">
        <v>243</v>
      </c>
      <c r="J185" s="185" t="s">
        <v>243</v>
      </c>
      <c r="K185" s="185" t="s">
        <v>243</v>
      </c>
      <c r="L185" s="185" t="s">
        <v>244</v>
      </c>
      <c r="M185" s="185" t="s">
        <v>245</v>
      </c>
      <c r="N185" s="150"/>
      <c r="O185" s="150"/>
      <c r="P185" s="150"/>
      <c r="Q185" s="150"/>
      <c r="R185" s="150"/>
      <c r="S185" s="150"/>
      <c r="T185" s="150"/>
      <c r="U185" s="150"/>
      <c r="V185" s="150"/>
      <c r="W185" s="150"/>
      <c r="X185" s="150"/>
      <c r="Y185" s="150"/>
      <c r="Z185" s="150"/>
      <c r="AA185" s="150"/>
      <c r="AB185" s="150"/>
      <c r="AC185" s="150"/>
      <c r="AD185" s="150"/>
      <c r="AE185" s="150"/>
      <c r="AF185" s="150"/>
      <c r="AG185" s="150"/>
      <c r="AH185" s="150"/>
      <c r="AI185" s="150"/>
      <c r="AJ185" s="150"/>
      <c r="AK185" s="150"/>
      <c r="AL185" s="150"/>
      <c r="AM185" s="150"/>
      <c r="AN185" s="150"/>
      <c r="AO185" s="150"/>
      <c r="AP185" s="150"/>
      <c r="AQ185" s="150"/>
      <c r="AR185" s="150"/>
    </row>
    <row r="186" spans="1:44" x14ac:dyDescent="0.2">
      <c r="B186" s="154">
        <v>1</v>
      </c>
      <c r="C186" s="137" t="s">
        <v>220</v>
      </c>
      <c r="D186" s="155" t="s">
        <v>221</v>
      </c>
      <c r="G186" s="178">
        <v>0</v>
      </c>
      <c r="H186" s="178">
        <v>0</v>
      </c>
      <c r="I186" s="178">
        <v>0</v>
      </c>
      <c r="J186" s="178"/>
      <c r="K186" s="178">
        <v>0.36147732675762756</v>
      </c>
      <c r="L186" s="178">
        <v>0.38258353891006952</v>
      </c>
      <c r="M186" s="178">
        <v>0.38258353891006952</v>
      </c>
      <c r="N186" s="178">
        <v>0.38258353891006952</v>
      </c>
      <c r="O186" s="178">
        <v>0.38258353891006952</v>
      </c>
      <c r="P186" s="178">
        <v>0.38258353891006952</v>
      </c>
      <c r="Q186" s="178">
        <v>0.38258353891006952</v>
      </c>
      <c r="R186" s="178">
        <v>0.38258353891006952</v>
      </c>
      <c r="S186" s="178">
        <v>0.38258353891006952</v>
      </c>
      <c r="T186" s="178">
        <v>0.39406104507737161</v>
      </c>
      <c r="U186" s="178">
        <v>0.40588287642969273</v>
      </c>
      <c r="V186" s="178">
        <v>0.41805936272258348</v>
      </c>
      <c r="W186" s="178">
        <v>0.43060114360426099</v>
      </c>
      <c r="X186" s="178">
        <v>0.43921316647634623</v>
      </c>
      <c r="Y186" s="178">
        <v>0.44799742980587315</v>
      </c>
      <c r="Z186" s="178">
        <v>0.45695737840199063</v>
      </c>
      <c r="AA186" s="178">
        <v>0.46609652597003043</v>
      </c>
      <c r="AB186" s="178">
        <v>0.46609652597003043</v>
      </c>
      <c r="AC186" s="178">
        <v>0.46609652597003043</v>
      </c>
      <c r="AD186" s="178">
        <v>0.46609652597003043</v>
      </c>
      <c r="AE186" s="178">
        <v>0.46609652597003043</v>
      </c>
      <c r="AF186" s="178">
        <v>0.46609652597003043</v>
      </c>
      <c r="AG186" s="178">
        <v>0.46609652597003043</v>
      </c>
      <c r="AH186" s="178">
        <v>0.46609652597003043</v>
      </c>
      <c r="AI186" s="178">
        <v>0.46609652597003043</v>
      </c>
      <c r="AJ186" s="178">
        <v>0.46609652597003043</v>
      </c>
      <c r="AK186" s="178">
        <v>0.46609652597003043</v>
      </c>
      <c r="AL186" s="178">
        <v>0.46609652597003043</v>
      </c>
      <c r="AM186" s="178">
        <v>0.46609652597003043</v>
      </c>
      <c r="AN186" s="178">
        <v>0.46609652597003043</v>
      </c>
      <c r="AO186" s="178">
        <v>0.46609652597003043</v>
      </c>
      <c r="AP186" s="178">
        <v>0.46609652597003043</v>
      </c>
      <c r="AQ186" s="178">
        <v>0.46609652597003043</v>
      </c>
      <c r="AR186" s="178">
        <v>0.46609652597003043</v>
      </c>
    </row>
    <row r="187" spans="1:44" x14ac:dyDescent="0.2">
      <c r="B187" s="154">
        <v>2</v>
      </c>
      <c r="C187" s="137" t="s">
        <v>222</v>
      </c>
      <c r="D187" s="155" t="s">
        <v>223</v>
      </c>
      <c r="G187" s="178">
        <v>0</v>
      </c>
      <c r="H187" s="178">
        <v>0</v>
      </c>
      <c r="I187" s="178">
        <v>0</v>
      </c>
      <c r="J187" s="178"/>
      <c r="K187" s="178">
        <v>0</v>
      </c>
      <c r="L187" s="178">
        <v>0</v>
      </c>
      <c r="M187" s="178">
        <v>0</v>
      </c>
      <c r="N187" s="178">
        <v>0</v>
      </c>
      <c r="O187" s="178">
        <v>0</v>
      </c>
      <c r="P187" s="178">
        <v>0</v>
      </c>
      <c r="Q187" s="178">
        <v>0</v>
      </c>
      <c r="R187" s="178">
        <v>0</v>
      </c>
      <c r="S187" s="178">
        <v>0</v>
      </c>
      <c r="T187" s="178">
        <v>0</v>
      </c>
      <c r="U187" s="178">
        <v>0</v>
      </c>
      <c r="V187" s="178">
        <v>0</v>
      </c>
      <c r="W187" s="178">
        <v>0</v>
      </c>
      <c r="X187" s="178">
        <v>0</v>
      </c>
      <c r="Y187" s="178">
        <v>0</v>
      </c>
      <c r="Z187" s="178">
        <v>0</v>
      </c>
      <c r="AA187" s="178">
        <v>0</v>
      </c>
      <c r="AB187" s="178">
        <v>0</v>
      </c>
      <c r="AC187" s="178">
        <v>0</v>
      </c>
      <c r="AD187" s="178">
        <v>0</v>
      </c>
      <c r="AE187" s="178">
        <v>0</v>
      </c>
      <c r="AF187" s="178">
        <v>0</v>
      </c>
      <c r="AG187" s="178">
        <v>0</v>
      </c>
      <c r="AH187" s="178">
        <v>0</v>
      </c>
      <c r="AI187" s="178">
        <v>0</v>
      </c>
      <c r="AJ187" s="178">
        <v>0</v>
      </c>
      <c r="AK187" s="178">
        <v>0</v>
      </c>
      <c r="AL187" s="178">
        <v>0</v>
      </c>
      <c r="AM187" s="178">
        <v>0</v>
      </c>
      <c r="AN187" s="178">
        <v>0</v>
      </c>
      <c r="AO187" s="178">
        <v>0</v>
      </c>
      <c r="AP187" s="178">
        <v>0</v>
      </c>
      <c r="AQ187" s="178">
        <v>0</v>
      </c>
      <c r="AR187" s="178">
        <v>0</v>
      </c>
    </row>
    <row r="188" spans="1:44" x14ac:dyDescent="0.2">
      <c r="B188" s="154">
        <v>3</v>
      </c>
      <c r="C188" s="137" t="s">
        <v>224</v>
      </c>
      <c r="D188" s="155" t="s">
        <v>225</v>
      </c>
      <c r="G188" s="178">
        <v>0</v>
      </c>
      <c r="H188" s="178">
        <v>0</v>
      </c>
      <c r="I188" s="178">
        <v>0</v>
      </c>
      <c r="J188" s="178"/>
      <c r="K188" s="178">
        <v>0</v>
      </c>
      <c r="L188" s="178">
        <v>0</v>
      </c>
      <c r="M188" s="178">
        <v>0</v>
      </c>
      <c r="N188" s="178">
        <v>0</v>
      </c>
      <c r="O188" s="178">
        <v>0</v>
      </c>
      <c r="P188" s="178">
        <v>0</v>
      </c>
      <c r="Q188" s="178">
        <v>0</v>
      </c>
      <c r="R188" s="178">
        <v>0</v>
      </c>
      <c r="S188" s="178">
        <v>0</v>
      </c>
      <c r="T188" s="178">
        <v>0</v>
      </c>
      <c r="U188" s="178">
        <v>0</v>
      </c>
      <c r="V188" s="178">
        <v>0</v>
      </c>
      <c r="W188" s="178">
        <v>0</v>
      </c>
      <c r="X188" s="178">
        <v>0</v>
      </c>
      <c r="Y188" s="178">
        <v>0</v>
      </c>
      <c r="Z188" s="178">
        <v>0</v>
      </c>
      <c r="AA188" s="178">
        <v>0</v>
      </c>
      <c r="AB188" s="178">
        <v>0</v>
      </c>
      <c r="AC188" s="178">
        <v>0</v>
      </c>
      <c r="AD188" s="178">
        <v>0</v>
      </c>
      <c r="AE188" s="178">
        <v>0</v>
      </c>
      <c r="AF188" s="178">
        <v>0</v>
      </c>
      <c r="AG188" s="178">
        <v>0</v>
      </c>
      <c r="AH188" s="178">
        <v>0</v>
      </c>
      <c r="AI188" s="178">
        <v>0</v>
      </c>
      <c r="AJ188" s="178">
        <v>0</v>
      </c>
      <c r="AK188" s="178">
        <v>0</v>
      </c>
      <c r="AL188" s="178">
        <v>0</v>
      </c>
      <c r="AM188" s="178">
        <v>0</v>
      </c>
      <c r="AN188" s="178">
        <v>0</v>
      </c>
      <c r="AO188" s="178">
        <v>0</v>
      </c>
      <c r="AP188" s="178">
        <v>0</v>
      </c>
      <c r="AQ188" s="178">
        <v>0</v>
      </c>
      <c r="AR188" s="178">
        <v>0</v>
      </c>
    </row>
    <row r="189" spans="1:44" x14ac:dyDescent="0.2">
      <c r="B189" s="154">
        <v>4</v>
      </c>
      <c r="C189" s="137" t="s">
        <v>226</v>
      </c>
      <c r="D189" s="155" t="s">
        <v>227</v>
      </c>
      <c r="G189" s="178">
        <v>0</v>
      </c>
      <c r="H189" s="178">
        <v>0</v>
      </c>
      <c r="I189" s="178">
        <v>0</v>
      </c>
      <c r="J189" s="178"/>
      <c r="K189" s="178">
        <v>0.67745132203491176</v>
      </c>
      <c r="L189" s="178">
        <v>0.67745132203491176</v>
      </c>
      <c r="M189" s="178">
        <v>0.67745132203491176</v>
      </c>
      <c r="N189" s="178">
        <v>0.67745132203491176</v>
      </c>
      <c r="O189" s="178">
        <v>0.67745132203491176</v>
      </c>
      <c r="P189" s="178">
        <v>0.67745132203491176</v>
      </c>
      <c r="Q189" s="178">
        <v>0.67745132203491176</v>
      </c>
      <c r="R189" s="178">
        <v>0.67745132203491176</v>
      </c>
      <c r="S189" s="178">
        <v>0.67745132203491176</v>
      </c>
      <c r="T189" s="178">
        <v>0.67745132203491176</v>
      </c>
      <c r="U189" s="178">
        <v>0.67745132203491176</v>
      </c>
      <c r="V189" s="178">
        <v>0.67745132203491176</v>
      </c>
      <c r="W189" s="178">
        <v>0.67745132203491176</v>
      </c>
      <c r="X189" s="178">
        <v>0.67745132203491176</v>
      </c>
      <c r="Y189" s="178">
        <v>0.67745132203491176</v>
      </c>
      <c r="Z189" s="178">
        <v>0.67745132203491176</v>
      </c>
      <c r="AA189" s="178">
        <v>0.67745132203491176</v>
      </c>
      <c r="AB189" s="178">
        <v>0.67745132203491176</v>
      </c>
      <c r="AC189" s="178">
        <v>0.67745132203491176</v>
      </c>
      <c r="AD189" s="178">
        <v>0.67745132203491176</v>
      </c>
      <c r="AE189" s="178">
        <v>0.67745132203491176</v>
      </c>
      <c r="AF189" s="178">
        <v>0.67745132203491176</v>
      </c>
      <c r="AG189" s="178">
        <v>0.67745132203491176</v>
      </c>
      <c r="AH189" s="178">
        <v>0.67745132203491176</v>
      </c>
      <c r="AI189" s="178">
        <v>0.67745132203491176</v>
      </c>
      <c r="AJ189" s="178">
        <v>0.67745132203491176</v>
      </c>
      <c r="AK189" s="178">
        <v>0.67745132203491176</v>
      </c>
      <c r="AL189" s="178">
        <v>0.67745132203491176</v>
      </c>
      <c r="AM189" s="178">
        <v>0.67745132203491176</v>
      </c>
      <c r="AN189" s="178">
        <v>0.67745132203491176</v>
      </c>
      <c r="AO189" s="178">
        <v>0.67745132203491176</v>
      </c>
      <c r="AP189" s="178">
        <v>0.67745132203491176</v>
      </c>
      <c r="AQ189" s="178">
        <v>0.67745132203491176</v>
      </c>
      <c r="AR189" s="178">
        <v>0.67745132203491176</v>
      </c>
    </row>
    <row r="190" spans="1:44" x14ac:dyDescent="0.2">
      <c r="B190" s="154">
        <v>5</v>
      </c>
      <c r="C190" s="137" t="s">
        <v>228</v>
      </c>
      <c r="D190" s="155" t="s">
        <v>221</v>
      </c>
      <c r="G190" s="178">
        <v>0</v>
      </c>
      <c r="H190" s="178">
        <v>0</v>
      </c>
      <c r="I190" s="178">
        <v>0</v>
      </c>
      <c r="J190" s="178"/>
      <c r="K190" s="178">
        <v>2.0112538515100655</v>
      </c>
      <c r="L190" s="178">
        <v>2.0112538515100655</v>
      </c>
      <c r="M190" s="178">
        <v>2.0112538515100655</v>
      </c>
      <c r="N190" s="178">
        <v>2.0112538515100655</v>
      </c>
      <c r="O190" s="178">
        <v>2.0112538515100655</v>
      </c>
      <c r="P190" s="178">
        <v>2.0112538515100655</v>
      </c>
      <c r="Q190" s="178">
        <v>2.0112538515100655</v>
      </c>
      <c r="R190" s="178">
        <v>2.0112538515100655</v>
      </c>
      <c r="S190" s="178">
        <v>2.0313663900251662</v>
      </c>
      <c r="T190" s="178">
        <v>2.0313663900251662</v>
      </c>
      <c r="U190" s="178">
        <v>2.0313663900251662</v>
      </c>
      <c r="V190" s="178">
        <v>2.0313663900251662</v>
      </c>
      <c r="W190" s="178">
        <v>2.0313663900251662</v>
      </c>
      <c r="X190" s="178">
        <v>2.0313663900251662</v>
      </c>
      <c r="Y190" s="178">
        <v>2.0313663900251662</v>
      </c>
      <c r="Z190" s="178">
        <v>2.0313663900251662</v>
      </c>
      <c r="AA190" s="178">
        <v>2.0313663900251662</v>
      </c>
      <c r="AB190" s="178">
        <v>2.0313663900251662</v>
      </c>
      <c r="AC190" s="178">
        <v>2.0313663900251662</v>
      </c>
      <c r="AD190" s="178">
        <v>2.0313663900251662</v>
      </c>
      <c r="AE190" s="178">
        <v>2.0313663900251662</v>
      </c>
      <c r="AF190" s="178">
        <v>2.0313663900251662</v>
      </c>
      <c r="AG190" s="178">
        <v>2.0313663900251662</v>
      </c>
      <c r="AH190" s="178">
        <v>2.0313663900251662</v>
      </c>
      <c r="AI190" s="178">
        <v>2.0313663900251662</v>
      </c>
      <c r="AJ190" s="178">
        <v>2.0313663900251662</v>
      </c>
      <c r="AK190" s="178">
        <v>2.0313663900251662</v>
      </c>
      <c r="AL190" s="178">
        <v>2.0313663900251662</v>
      </c>
      <c r="AM190" s="178">
        <v>2.0313663900251662</v>
      </c>
      <c r="AN190" s="178">
        <v>2.0313663900251662</v>
      </c>
      <c r="AO190" s="178">
        <v>2.0313663900251662</v>
      </c>
      <c r="AP190" s="178">
        <v>2.0313663900251662</v>
      </c>
      <c r="AQ190" s="178">
        <v>2.0313663900251662</v>
      </c>
      <c r="AR190" s="178">
        <v>2.0313663900251662</v>
      </c>
    </row>
    <row r="191" spans="1:44" x14ac:dyDescent="0.2">
      <c r="B191" s="154">
        <v>6</v>
      </c>
      <c r="C191" s="137" t="s">
        <v>229</v>
      </c>
      <c r="D191" s="155" t="s">
        <v>230</v>
      </c>
      <c r="G191" s="178">
        <v>0</v>
      </c>
      <c r="H191" s="178">
        <v>0</v>
      </c>
      <c r="I191" s="178">
        <v>0</v>
      </c>
      <c r="J191" s="178"/>
      <c r="K191" s="178">
        <v>0</v>
      </c>
      <c r="L191" s="178">
        <v>0</v>
      </c>
      <c r="M191" s="178">
        <v>0</v>
      </c>
      <c r="N191" s="178">
        <v>0</v>
      </c>
      <c r="O191" s="178">
        <v>0</v>
      </c>
      <c r="P191" s="178">
        <v>0</v>
      </c>
      <c r="Q191" s="178">
        <v>0</v>
      </c>
      <c r="R191" s="178">
        <v>0</v>
      </c>
      <c r="S191" s="178">
        <v>0</v>
      </c>
      <c r="T191" s="178">
        <v>0</v>
      </c>
      <c r="U191" s="178">
        <v>0</v>
      </c>
      <c r="V191" s="178">
        <v>0</v>
      </c>
      <c r="W191" s="178">
        <v>0</v>
      </c>
      <c r="X191" s="178">
        <v>0</v>
      </c>
      <c r="Y191" s="178">
        <v>0</v>
      </c>
      <c r="Z191" s="178">
        <v>0</v>
      </c>
      <c r="AA191" s="178">
        <v>0</v>
      </c>
      <c r="AB191" s="178">
        <v>0</v>
      </c>
      <c r="AC191" s="178">
        <v>0</v>
      </c>
      <c r="AD191" s="178">
        <v>0</v>
      </c>
      <c r="AE191" s="178">
        <v>0</v>
      </c>
      <c r="AF191" s="178">
        <v>0</v>
      </c>
      <c r="AG191" s="178">
        <v>0</v>
      </c>
      <c r="AH191" s="178">
        <v>0</v>
      </c>
      <c r="AI191" s="178">
        <v>0</v>
      </c>
      <c r="AJ191" s="178">
        <v>0</v>
      </c>
      <c r="AK191" s="178">
        <v>0</v>
      </c>
      <c r="AL191" s="178">
        <v>0</v>
      </c>
      <c r="AM191" s="178">
        <v>0</v>
      </c>
      <c r="AN191" s="178">
        <v>0</v>
      </c>
      <c r="AO191" s="178">
        <v>0</v>
      </c>
      <c r="AP191" s="178">
        <v>0</v>
      </c>
      <c r="AQ191" s="178">
        <v>0</v>
      </c>
      <c r="AR191" s="178">
        <v>0</v>
      </c>
    </row>
    <row r="192" spans="1:44" x14ac:dyDescent="0.2">
      <c r="B192" s="154">
        <v>7</v>
      </c>
      <c r="C192" s="137" t="s">
        <v>231</v>
      </c>
      <c r="D192" s="155" t="s">
        <v>225</v>
      </c>
      <c r="G192" s="178">
        <v>0</v>
      </c>
      <c r="H192" s="178">
        <v>0</v>
      </c>
      <c r="I192" s="178">
        <v>0</v>
      </c>
      <c r="J192" s="178"/>
      <c r="K192" s="178">
        <v>0.47161294083357624</v>
      </c>
      <c r="L192" s="178">
        <v>0.58226481448918599</v>
      </c>
      <c r="M192" s="178">
        <v>0.58226481448918599</v>
      </c>
      <c r="N192" s="178">
        <v>0.58226481448918599</v>
      </c>
      <c r="O192" s="178">
        <v>0.58226481448918599</v>
      </c>
      <c r="P192" s="178">
        <v>0.58226481448918599</v>
      </c>
      <c r="Q192" s="178">
        <v>0.58226481448918599</v>
      </c>
      <c r="R192" s="178">
        <v>0.58226481448918599</v>
      </c>
      <c r="S192" s="178">
        <v>0.58226481448918599</v>
      </c>
      <c r="T192" s="178">
        <v>0.58226481448918599</v>
      </c>
      <c r="U192" s="178">
        <v>0.58226481448918599</v>
      </c>
      <c r="V192" s="178">
        <v>0.58226481448918599</v>
      </c>
      <c r="W192" s="178">
        <v>0.58226481448918599</v>
      </c>
      <c r="X192" s="178">
        <v>0.58226481448918599</v>
      </c>
      <c r="Y192" s="178">
        <v>0.58226481448918599</v>
      </c>
      <c r="Z192" s="178">
        <v>0.58226481448918599</v>
      </c>
      <c r="AA192" s="178">
        <v>0.58226481448918599</v>
      </c>
      <c r="AB192" s="178">
        <v>0.58226481448918599</v>
      </c>
      <c r="AC192" s="178">
        <v>0.58226481448918599</v>
      </c>
      <c r="AD192" s="178">
        <v>0.58226481448918599</v>
      </c>
      <c r="AE192" s="178">
        <v>0.58226481448918599</v>
      </c>
      <c r="AF192" s="178">
        <v>0.58226481448918599</v>
      </c>
      <c r="AG192" s="178">
        <v>0.58226481448918599</v>
      </c>
      <c r="AH192" s="178">
        <v>0.58226481448918599</v>
      </c>
      <c r="AI192" s="178">
        <v>0.58226481448918599</v>
      </c>
      <c r="AJ192" s="178">
        <v>0.58226481448918599</v>
      </c>
      <c r="AK192" s="178">
        <v>0.58226481448918599</v>
      </c>
      <c r="AL192" s="178">
        <v>0.58226481448918599</v>
      </c>
      <c r="AM192" s="178">
        <v>0.58226481448918599</v>
      </c>
      <c r="AN192" s="178">
        <v>0.58226481448918599</v>
      </c>
      <c r="AO192" s="178">
        <v>0.58226481448918599</v>
      </c>
      <c r="AP192" s="178">
        <v>0.58226481448918599</v>
      </c>
      <c r="AQ192" s="178">
        <v>0.58226481448918599</v>
      </c>
      <c r="AR192" s="178">
        <v>0.58226481448918599</v>
      </c>
    </row>
    <row r="193" spans="1:44" x14ac:dyDescent="0.2">
      <c r="B193" s="154">
        <v>8</v>
      </c>
      <c r="C193" s="137" t="s">
        <v>232</v>
      </c>
      <c r="D193" s="155" t="s">
        <v>233</v>
      </c>
      <c r="G193" s="178">
        <v>0</v>
      </c>
      <c r="H193" s="178">
        <v>0</v>
      </c>
      <c r="I193" s="178">
        <v>0</v>
      </c>
      <c r="J193" s="178"/>
      <c r="K193" s="178">
        <v>11.875716064757162</v>
      </c>
      <c r="L193" s="178">
        <v>14.427726120033812</v>
      </c>
      <c r="M193" s="178">
        <v>14.427726120033812</v>
      </c>
      <c r="N193" s="178">
        <v>9</v>
      </c>
      <c r="O193" s="178">
        <v>9</v>
      </c>
      <c r="P193" s="178">
        <v>9</v>
      </c>
      <c r="Q193" s="178">
        <v>9</v>
      </c>
      <c r="R193" s="178">
        <v>9</v>
      </c>
      <c r="S193" s="178">
        <v>9</v>
      </c>
      <c r="T193" s="178">
        <v>9</v>
      </c>
      <c r="U193" s="178">
        <v>9</v>
      </c>
      <c r="V193" s="178">
        <v>9</v>
      </c>
      <c r="W193" s="178">
        <v>9</v>
      </c>
      <c r="X193" s="178">
        <v>9</v>
      </c>
      <c r="Y193" s="178">
        <v>9</v>
      </c>
      <c r="Z193" s="178">
        <v>9</v>
      </c>
      <c r="AA193" s="178">
        <v>9</v>
      </c>
      <c r="AB193" s="178">
        <v>9</v>
      </c>
      <c r="AC193" s="178">
        <v>9</v>
      </c>
      <c r="AD193" s="178">
        <v>9</v>
      </c>
      <c r="AE193" s="178">
        <v>9</v>
      </c>
      <c r="AF193" s="178">
        <v>9</v>
      </c>
      <c r="AG193" s="178">
        <v>9</v>
      </c>
      <c r="AH193" s="178">
        <v>9</v>
      </c>
      <c r="AI193" s="178">
        <v>9</v>
      </c>
      <c r="AJ193" s="178">
        <v>9</v>
      </c>
      <c r="AK193" s="178">
        <v>9</v>
      </c>
      <c r="AL193" s="178">
        <v>9</v>
      </c>
      <c r="AM193" s="178">
        <v>9</v>
      </c>
      <c r="AN193" s="178">
        <v>9</v>
      </c>
      <c r="AO193" s="178">
        <v>9</v>
      </c>
      <c r="AP193" s="178">
        <v>9</v>
      </c>
      <c r="AQ193" s="178">
        <v>9</v>
      </c>
      <c r="AR193" s="178">
        <v>9</v>
      </c>
    </row>
    <row r="194" spans="1:44" x14ac:dyDescent="0.2">
      <c r="B194" s="157"/>
      <c r="C194" s="158"/>
      <c r="D194" s="159"/>
      <c r="E194" s="158"/>
      <c r="F194" s="158"/>
      <c r="G194" s="191"/>
      <c r="H194" s="191"/>
      <c r="I194" s="191"/>
      <c r="J194" s="191"/>
      <c r="K194" s="191"/>
      <c r="L194" s="227"/>
      <c r="M194" s="183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  <c r="AA194" s="183"/>
      <c r="AB194" s="183"/>
      <c r="AC194" s="183"/>
      <c r="AD194" s="183"/>
      <c r="AE194" s="183"/>
      <c r="AF194" s="183"/>
      <c r="AG194" s="183"/>
      <c r="AH194" s="183"/>
      <c r="AI194" s="183"/>
      <c r="AJ194" s="183"/>
      <c r="AK194" s="183"/>
      <c r="AL194" s="183"/>
      <c r="AM194" s="183"/>
      <c r="AN194" s="183"/>
      <c r="AO194" s="183"/>
      <c r="AP194" s="183"/>
      <c r="AQ194" s="183"/>
      <c r="AR194" s="183"/>
    </row>
    <row r="195" spans="1:44" x14ac:dyDescent="0.2">
      <c r="B195" s="171"/>
      <c r="C195" s="172"/>
      <c r="D195" s="173"/>
      <c r="E195" s="172"/>
      <c r="F195" s="172"/>
      <c r="G195" s="171"/>
      <c r="H195" s="171"/>
      <c r="I195" s="174"/>
      <c r="J195" s="174"/>
      <c r="K195" s="174"/>
      <c r="L195" s="175"/>
      <c r="M195" s="226"/>
      <c r="N195" s="226"/>
      <c r="O195" s="226"/>
      <c r="P195" s="226"/>
      <c r="Q195" s="226"/>
      <c r="R195" s="226"/>
      <c r="S195" s="226"/>
      <c r="T195" s="226"/>
      <c r="U195" s="226"/>
      <c r="V195" s="226"/>
      <c r="W195" s="226"/>
      <c r="X195" s="226"/>
      <c r="Y195" s="226"/>
      <c r="Z195" s="226"/>
      <c r="AA195" s="226"/>
      <c r="AB195" s="226"/>
      <c r="AC195" s="226"/>
      <c r="AD195" s="226"/>
      <c r="AE195" s="226"/>
      <c r="AF195" s="226"/>
      <c r="AG195" s="226"/>
      <c r="AH195" s="226"/>
      <c r="AI195" s="226"/>
      <c r="AJ195" s="226"/>
      <c r="AK195" s="226"/>
      <c r="AL195" s="226"/>
      <c r="AM195" s="226"/>
      <c r="AN195" s="226"/>
      <c r="AO195" s="226"/>
      <c r="AP195" s="226"/>
      <c r="AQ195" s="226"/>
      <c r="AR195" s="226"/>
    </row>
    <row r="196" spans="1:44" x14ac:dyDescent="0.2">
      <c r="B196" s="139"/>
      <c r="C196" s="140" t="s">
        <v>255</v>
      </c>
      <c r="D196" s="141"/>
      <c r="E196" s="140"/>
      <c r="F196" s="140"/>
      <c r="G196" s="142"/>
      <c r="H196" s="142"/>
      <c r="I196" s="139"/>
      <c r="J196" s="139"/>
      <c r="K196" s="139"/>
      <c r="L196" s="143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0"/>
      <c r="X196" s="144"/>
      <c r="Y196" s="144"/>
      <c r="Z196" s="144"/>
      <c r="AA196" s="144"/>
      <c r="AB196" s="144"/>
      <c r="AC196" s="144"/>
      <c r="AD196" s="144"/>
      <c r="AE196" s="144"/>
      <c r="AF196" s="144"/>
      <c r="AG196" s="144"/>
      <c r="AH196" s="144"/>
      <c r="AI196" s="144"/>
      <c r="AJ196" s="144"/>
      <c r="AK196" s="144"/>
      <c r="AL196" s="144"/>
      <c r="AM196" s="144"/>
      <c r="AN196" s="144"/>
      <c r="AO196" s="144"/>
      <c r="AP196" s="144"/>
      <c r="AQ196" s="144"/>
      <c r="AR196" s="144"/>
    </row>
    <row r="197" spans="1:44" x14ac:dyDescent="0.2">
      <c r="A197" s="145"/>
      <c r="B197" s="146"/>
      <c r="C197" s="146" t="s">
        <v>218</v>
      </c>
      <c r="D197" s="147" t="s">
        <v>219</v>
      </c>
      <c r="E197" s="146"/>
      <c r="F197" s="146"/>
      <c r="G197" s="148">
        <v>2019</v>
      </c>
      <c r="H197" s="148">
        <v>2020</v>
      </c>
      <c r="I197" s="148">
        <v>2021</v>
      </c>
      <c r="J197" s="148">
        <v>2022</v>
      </c>
      <c r="K197" s="148">
        <v>2023</v>
      </c>
      <c r="L197" s="149">
        <v>45352</v>
      </c>
      <c r="M197" s="148">
        <v>2024</v>
      </c>
      <c r="N197" s="146">
        <v>2025</v>
      </c>
      <c r="O197" s="146">
        <v>2026</v>
      </c>
      <c r="P197" s="146">
        <v>2027</v>
      </c>
      <c r="Q197" s="146">
        <v>2028</v>
      </c>
      <c r="R197" s="146">
        <v>2029</v>
      </c>
      <c r="S197" s="146">
        <v>2030</v>
      </c>
      <c r="T197" s="146">
        <v>2031</v>
      </c>
      <c r="U197" s="146">
        <v>2032</v>
      </c>
      <c r="V197" s="146">
        <v>2033</v>
      </c>
      <c r="W197" s="146">
        <v>2034</v>
      </c>
      <c r="X197" s="146">
        <v>2035</v>
      </c>
      <c r="Y197" s="146">
        <v>2036</v>
      </c>
      <c r="Z197" s="146">
        <v>2037</v>
      </c>
      <c r="AA197" s="146">
        <v>2038</v>
      </c>
      <c r="AB197" s="146">
        <v>2039</v>
      </c>
      <c r="AC197" s="146">
        <v>2040</v>
      </c>
      <c r="AD197" s="146">
        <v>2041</v>
      </c>
      <c r="AE197" s="146">
        <v>2042</v>
      </c>
      <c r="AF197" s="146">
        <v>2043</v>
      </c>
      <c r="AG197" s="146">
        <v>2044</v>
      </c>
      <c r="AH197" s="146">
        <v>2045</v>
      </c>
      <c r="AI197" s="146">
        <v>2046</v>
      </c>
      <c r="AJ197" s="146">
        <v>2047</v>
      </c>
      <c r="AK197" s="146">
        <v>2048</v>
      </c>
      <c r="AL197" s="146">
        <v>2049</v>
      </c>
      <c r="AM197" s="146">
        <v>2050</v>
      </c>
      <c r="AN197" s="146">
        <v>2051</v>
      </c>
      <c r="AO197" s="146">
        <v>2052</v>
      </c>
      <c r="AP197" s="146">
        <v>2053</v>
      </c>
      <c r="AQ197" s="146">
        <v>2054</v>
      </c>
      <c r="AR197" s="146">
        <v>2055</v>
      </c>
    </row>
    <row r="198" spans="1:44" x14ac:dyDescent="0.2">
      <c r="A198" s="184"/>
      <c r="B198" s="185"/>
      <c r="C198" s="185"/>
      <c r="D198" s="186"/>
      <c r="E198" s="185"/>
      <c r="F198" s="185"/>
      <c r="G198" s="187"/>
      <c r="H198" s="187"/>
      <c r="I198" s="187"/>
      <c r="J198" s="187"/>
      <c r="K198" s="188"/>
      <c r="L198" s="188"/>
      <c r="M198" s="188"/>
      <c r="N198" s="188"/>
      <c r="O198" s="185"/>
      <c r="P198" s="185"/>
      <c r="Q198" s="185"/>
      <c r="R198" s="185"/>
      <c r="S198" s="185"/>
      <c r="T198" s="185"/>
      <c r="U198" s="185"/>
      <c r="V198" s="185"/>
      <c r="W198" s="185"/>
      <c r="X198" s="185"/>
      <c r="Y198" s="185"/>
      <c r="Z198" s="185"/>
      <c r="AA198" s="185"/>
      <c r="AB198" s="185"/>
      <c r="AC198" s="185"/>
      <c r="AD198" s="185"/>
      <c r="AE198" s="185"/>
      <c r="AF198" s="185"/>
      <c r="AG198" s="185"/>
      <c r="AH198" s="185"/>
      <c r="AI198" s="185"/>
      <c r="AJ198" s="185"/>
      <c r="AK198" s="185"/>
      <c r="AL198" s="185"/>
      <c r="AM198" s="185"/>
      <c r="AN198" s="185"/>
      <c r="AO198" s="185"/>
      <c r="AP198" s="185"/>
      <c r="AQ198" s="185"/>
      <c r="AR198" s="185"/>
    </row>
    <row r="199" spans="1:44" x14ac:dyDescent="0.2">
      <c r="B199" s="150"/>
      <c r="C199" s="150"/>
      <c r="D199" s="151"/>
      <c r="E199" s="218"/>
      <c r="F199" s="150"/>
      <c r="G199" s="185" t="s">
        <v>243</v>
      </c>
      <c r="H199" s="185" t="s">
        <v>243</v>
      </c>
      <c r="I199" s="185" t="s">
        <v>243</v>
      </c>
      <c r="J199" s="185" t="s">
        <v>243</v>
      </c>
      <c r="K199" s="185" t="s">
        <v>243</v>
      </c>
      <c r="L199" s="185" t="s">
        <v>244</v>
      </c>
      <c r="M199" s="185" t="s">
        <v>245</v>
      </c>
      <c r="N199" s="150"/>
      <c r="O199" s="150"/>
      <c r="P199" s="150"/>
      <c r="Q199" s="150"/>
      <c r="R199" s="150"/>
      <c r="S199" s="150"/>
      <c r="T199" s="150"/>
      <c r="U199" s="150"/>
      <c r="V199" s="150"/>
      <c r="W199" s="150"/>
      <c r="X199" s="150"/>
      <c r="Y199" s="150"/>
      <c r="Z199" s="150"/>
      <c r="AA199" s="150"/>
      <c r="AB199" s="150"/>
      <c r="AC199" s="150"/>
      <c r="AD199" s="150"/>
      <c r="AE199" s="150"/>
      <c r="AF199" s="150"/>
      <c r="AG199" s="150"/>
      <c r="AH199" s="150"/>
      <c r="AI199" s="150"/>
      <c r="AJ199" s="150"/>
      <c r="AK199" s="150"/>
      <c r="AL199" s="150"/>
      <c r="AM199" s="150"/>
      <c r="AN199" s="150"/>
      <c r="AO199" s="150"/>
      <c r="AP199" s="150"/>
      <c r="AQ199" s="150"/>
      <c r="AR199" s="150"/>
    </row>
    <row r="200" spans="1:44" x14ac:dyDescent="0.2">
      <c r="B200" s="154"/>
      <c r="C200" s="137" t="s">
        <v>256</v>
      </c>
      <c r="D200" s="155"/>
      <c r="G200" s="167"/>
      <c r="H200" s="167"/>
      <c r="I200" s="207"/>
      <c r="J200" s="207">
        <v>197</v>
      </c>
      <c r="K200" s="207">
        <v>197</v>
      </c>
      <c r="L200" s="207">
        <v>197</v>
      </c>
      <c r="M200" s="207">
        <v>197</v>
      </c>
      <c r="N200" s="208">
        <v>197</v>
      </c>
      <c r="O200" s="208">
        <v>197</v>
      </c>
      <c r="P200" s="208">
        <v>197</v>
      </c>
      <c r="Q200" s="208">
        <v>197</v>
      </c>
      <c r="R200" s="208">
        <v>197</v>
      </c>
      <c r="S200" s="208">
        <v>197</v>
      </c>
      <c r="T200" s="208">
        <v>197</v>
      </c>
      <c r="U200" s="208">
        <v>197</v>
      </c>
      <c r="V200" s="208">
        <v>197</v>
      </c>
      <c r="W200" s="208">
        <v>197</v>
      </c>
      <c r="X200" s="208">
        <v>197</v>
      </c>
      <c r="Y200" s="208">
        <v>197</v>
      </c>
      <c r="Z200" s="208">
        <v>197</v>
      </c>
      <c r="AA200" s="208">
        <v>197</v>
      </c>
      <c r="AB200" s="208">
        <v>197</v>
      </c>
      <c r="AC200" s="208">
        <v>197</v>
      </c>
      <c r="AD200" s="208">
        <v>197</v>
      </c>
      <c r="AE200" s="208">
        <v>197</v>
      </c>
      <c r="AF200" s="208">
        <v>197</v>
      </c>
      <c r="AG200" s="208">
        <v>197</v>
      </c>
      <c r="AH200" s="208">
        <v>197</v>
      </c>
      <c r="AI200" s="208">
        <v>197</v>
      </c>
      <c r="AJ200" s="208">
        <v>197</v>
      </c>
      <c r="AK200" s="208">
        <v>197</v>
      </c>
      <c r="AL200" s="208">
        <v>197</v>
      </c>
      <c r="AM200" s="208">
        <v>197</v>
      </c>
      <c r="AN200" s="208">
        <v>197</v>
      </c>
      <c r="AO200" s="208">
        <v>197</v>
      </c>
      <c r="AP200" s="208">
        <v>197</v>
      </c>
      <c r="AQ200" s="208">
        <v>197</v>
      </c>
      <c r="AR200" s="208">
        <v>197</v>
      </c>
    </row>
    <row r="201" spans="1:44" x14ac:dyDescent="0.2">
      <c r="B201" s="154"/>
      <c r="C201" s="137" t="s">
        <v>257</v>
      </c>
      <c r="D201" s="155"/>
      <c r="G201" s="167"/>
      <c r="H201" s="167"/>
      <c r="I201" s="207"/>
      <c r="J201" s="207">
        <v>197</v>
      </c>
      <c r="K201" s="207">
        <v>197</v>
      </c>
      <c r="L201" s="207">
        <v>197</v>
      </c>
      <c r="M201" s="207">
        <v>197</v>
      </c>
      <c r="N201" s="208">
        <v>197</v>
      </c>
      <c r="O201" s="208">
        <v>197</v>
      </c>
      <c r="P201" s="208">
        <v>197</v>
      </c>
      <c r="Q201" s="208">
        <v>197</v>
      </c>
      <c r="R201" s="208">
        <v>197</v>
      </c>
      <c r="S201" s="208">
        <v>197</v>
      </c>
      <c r="T201" s="208">
        <v>197</v>
      </c>
      <c r="U201" s="208">
        <v>197</v>
      </c>
      <c r="V201" s="208">
        <v>197</v>
      </c>
      <c r="W201" s="208">
        <v>197</v>
      </c>
      <c r="X201" s="208">
        <v>197</v>
      </c>
      <c r="Y201" s="208">
        <v>197</v>
      </c>
      <c r="Z201" s="208">
        <v>197</v>
      </c>
      <c r="AA201" s="208">
        <v>197</v>
      </c>
      <c r="AB201" s="208">
        <v>197</v>
      </c>
      <c r="AC201" s="208">
        <v>197</v>
      </c>
      <c r="AD201" s="208">
        <v>197</v>
      </c>
      <c r="AE201" s="208">
        <v>197</v>
      </c>
      <c r="AF201" s="208">
        <v>197</v>
      </c>
      <c r="AG201" s="208">
        <v>197</v>
      </c>
      <c r="AH201" s="208">
        <v>197</v>
      </c>
      <c r="AI201" s="208">
        <v>197</v>
      </c>
      <c r="AJ201" s="208">
        <v>197</v>
      </c>
      <c r="AK201" s="208">
        <v>197</v>
      </c>
      <c r="AL201" s="208">
        <v>197</v>
      </c>
      <c r="AM201" s="208">
        <v>197</v>
      </c>
      <c r="AN201" s="208">
        <v>197</v>
      </c>
      <c r="AO201" s="208">
        <v>197</v>
      </c>
      <c r="AP201" s="208">
        <v>197</v>
      </c>
      <c r="AQ201" s="208">
        <v>197</v>
      </c>
      <c r="AR201" s="208">
        <v>197</v>
      </c>
    </row>
    <row r="202" spans="1:44" x14ac:dyDescent="0.2">
      <c r="B202" s="154"/>
      <c r="D202" s="155"/>
      <c r="G202" s="154"/>
      <c r="H202" s="154"/>
      <c r="I202" s="154"/>
      <c r="J202" s="154"/>
      <c r="K202" s="154"/>
      <c r="L202" s="206"/>
      <c r="W202" s="172"/>
    </row>
    <row r="203" spans="1:44" x14ac:dyDescent="0.2">
      <c r="B203" s="194"/>
      <c r="C203" s="195" t="s">
        <v>258</v>
      </c>
      <c r="D203" s="196"/>
      <c r="E203" s="195"/>
      <c r="F203" s="195"/>
      <c r="G203" s="194"/>
      <c r="H203" s="194"/>
      <c r="I203" s="194"/>
      <c r="J203" s="194"/>
      <c r="K203" s="194"/>
      <c r="L203" s="197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  <c r="AA203" s="195"/>
      <c r="AB203" s="195"/>
      <c r="AC203" s="195"/>
      <c r="AD203" s="195"/>
      <c r="AE203" s="195"/>
      <c r="AF203" s="195"/>
      <c r="AG203" s="195"/>
      <c r="AH203" s="195"/>
      <c r="AI203" s="195"/>
      <c r="AJ203" s="195"/>
      <c r="AK203" s="195"/>
      <c r="AL203" s="195"/>
      <c r="AM203" s="195"/>
      <c r="AN203" s="195"/>
      <c r="AO203" s="195"/>
      <c r="AP203" s="195"/>
      <c r="AQ203" s="195"/>
      <c r="AR203" s="195"/>
    </row>
    <row r="204" spans="1:44" x14ac:dyDescent="0.2">
      <c r="B204" s="139"/>
      <c r="C204" s="140" t="s">
        <v>259</v>
      </c>
      <c r="D204" s="141"/>
      <c r="E204" s="140"/>
      <c r="F204" s="140"/>
      <c r="G204" s="142"/>
      <c r="H204" s="142"/>
      <c r="I204" s="139"/>
      <c r="J204" s="139"/>
      <c r="K204" s="139"/>
      <c r="L204" s="142"/>
      <c r="M204" s="142"/>
      <c r="N204" s="142"/>
      <c r="O204" s="144"/>
      <c r="P204" s="144"/>
      <c r="Q204" s="144"/>
      <c r="R204" s="144"/>
      <c r="S204" s="144"/>
      <c r="T204" s="144"/>
      <c r="U204" s="144"/>
      <c r="V204" s="144"/>
      <c r="W204" s="140"/>
      <c r="X204" s="144"/>
      <c r="Y204" s="144"/>
      <c r="Z204" s="144"/>
      <c r="AA204" s="144"/>
      <c r="AB204" s="144"/>
      <c r="AC204" s="144"/>
      <c r="AD204" s="144"/>
      <c r="AE204" s="144"/>
      <c r="AF204" s="144"/>
      <c r="AG204" s="144"/>
      <c r="AH204" s="144"/>
      <c r="AI204" s="144"/>
      <c r="AJ204" s="144"/>
      <c r="AK204" s="144"/>
      <c r="AL204" s="144"/>
      <c r="AM204" s="144"/>
      <c r="AN204" s="144"/>
      <c r="AO204" s="144"/>
      <c r="AP204" s="144"/>
      <c r="AQ204" s="144"/>
      <c r="AR204" s="144"/>
    </row>
    <row r="205" spans="1:44" x14ac:dyDescent="0.2">
      <c r="A205" s="145"/>
      <c r="B205" s="146"/>
      <c r="C205" s="146" t="s">
        <v>218</v>
      </c>
      <c r="D205" s="147" t="s">
        <v>219</v>
      </c>
      <c r="E205" s="146"/>
      <c r="F205" s="146"/>
      <c r="G205" s="148">
        <v>2019</v>
      </c>
      <c r="H205" s="148">
        <v>2020</v>
      </c>
      <c r="I205" s="148">
        <v>2021</v>
      </c>
      <c r="J205" s="148">
        <v>2022</v>
      </c>
      <c r="K205" s="148">
        <v>2023</v>
      </c>
      <c r="L205" s="149">
        <v>45352</v>
      </c>
      <c r="M205" s="148">
        <v>2024</v>
      </c>
      <c r="N205" s="146">
        <v>2025</v>
      </c>
      <c r="O205" s="146">
        <v>2026</v>
      </c>
      <c r="P205" s="146">
        <v>2027</v>
      </c>
      <c r="Q205" s="146">
        <v>2028</v>
      </c>
      <c r="R205" s="146">
        <v>2029</v>
      </c>
      <c r="S205" s="146">
        <v>2030</v>
      </c>
      <c r="T205" s="146">
        <v>2031</v>
      </c>
      <c r="U205" s="146">
        <v>2032</v>
      </c>
      <c r="V205" s="146">
        <v>2033</v>
      </c>
      <c r="W205" s="146">
        <v>2034</v>
      </c>
      <c r="X205" s="146">
        <v>2035</v>
      </c>
      <c r="Y205" s="146">
        <v>2036</v>
      </c>
      <c r="Z205" s="146">
        <v>2037</v>
      </c>
      <c r="AA205" s="146">
        <v>2038</v>
      </c>
      <c r="AB205" s="146">
        <v>2039</v>
      </c>
      <c r="AC205" s="146">
        <v>2040</v>
      </c>
      <c r="AD205" s="146">
        <v>2041</v>
      </c>
      <c r="AE205" s="146">
        <v>2042</v>
      </c>
      <c r="AF205" s="146">
        <v>2043</v>
      </c>
      <c r="AG205" s="146">
        <v>2044</v>
      </c>
      <c r="AH205" s="146">
        <v>2045</v>
      </c>
      <c r="AI205" s="146">
        <v>2046</v>
      </c>
      <c r="AJ205" s="146">
        <v>2047</v>
      </c>
      <c r="AK205" s="146">
        <v>2048</v>
      </c>
      <c r="AL205" s="146">
        <v>2049</v>
      </c>
      <c r="AM205" s="146">
        <v>2050</v>
      </c>
      <c r="AN205" s="146">
        <v>2051</v>
      </c>
      <c r="AO205" s="146">
        <v>2052</v>
      </c>
      <c r="AP205" s="146">
        <v>2053</v>
      </c>
      <c r="AQ205" s="146">
        <v>2054</v>
      </c>
      <c r="AR205" s="146">
        <v>2055</v>
      </c>
    </row>
    <row r="206" spans="1:44" x14ac:dyDescent="0.2">
      <c r="A206" s="184"/>
      <c r="B206" s="185"/>
      <c r="C206" s="185"/>
      <c r="D206" s="186"/>
      <c r="E206" s="185"/>
      <c r="F206" s="185"/>
      <c r="G206" s="187"/>
      <c r="H206" s="187"/>
      <c r="I206" s="187"/>
      <c r="J206" s="187"/>
      <c r="K206" s="188"/>
      <c r="L206" s="188"/>
      <c r="M206" s="188"/>
      <c r="N206" s="188"/>
      <c r="O206" s="185"/>
      <c r="P206" s="185"/>
      <c r="Q206" s="185"/>
      <c r="R206" s="185"/>
      <c r="S206" s="185"/>
      <c r="T206" s="185"/>
      <c r="U206" s="185"/>
      <c r="V206" s="185"/>
      <c r="W206" s="185"/>
      <c r="X206" s="185"/>
      <c r="Y206" s="185"/>
      <c r="Z206" s="185"/>
      <c r="AA206" s="185"/>
      <c r="AB206" s="185"/>
      <c r="AC206" s="185"/>
      <c r="AD206" s="185"/>
      <c r="AE206" s="185"/>
      <c r="AF206" s="185"/>
      <c r="AG206" s="185"/>
      <c r="AH206" s="185"/>
      <c r="AI206" s="185"/>
      <c r="AJ206" s="185"/>
      <c r="AK206" s="185"/>
      <c r="AL206" s="185"/>
      <c r="AM206" s="185"/>
      <c r="AN206" s="185"/>
      <c r="AO206" s="185"/>
      <c r="AP206" s="185"/>
      <c r="AQ206" s="185"/>
      <c r="AR206" s="185"/>
    </row>
    <row r="207" spans="1:44" x14ac:dyDescent="0.2">
      <c r="B207" s="198"/>
      <c r="C207" s="198"/>
      <c r="D207" s="199"/>
      <c r="E207" s="200"/>
      <c r="F207" s="198"/>
      <c r="G207" s="150"/>
      <c r="H207" s="150"/>
      <c r="I207" s="150"/>
      <c r="J207" s="150"/>
      <c r="K207" s="150"/>
      <c r="L207" s="150"/>
      <c r="M207" s="150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8"/>
      <c r="AA207" s="198"/>
      <c r="AB207" s="198"/>
      <c r="AC207" s="198"/>
      <c r="AD207" s="198"/>
      <c r="AE207" s="198"/>
      <c r="AF207" s="198"/>
      <c r="AG207" s="198"/>
      <c r="AH207" s="198"/>
      <c r="AI207" s="198"/>
      <c r="AJ207" s="198"/>
      <c r="AK207" s="198"/>
      <c r="AL207" s="198"/>
      <c r="AM207" s="198"/>
      <c r="AN207" s="198"/>
      <c r="AO207" s="198"/>
      <c r="AP207" s="198"/>
      <c r="AQ207" s="198"/>
      <c r="AR207" s="198"/>
    </row>
    <row r="208" spans="1:44" x14ac:dyDescent="0.2">
      <c r="B208" s="154">
        <v>1</v>
      </c>
      <c r="C208" s="137" t="s">
        <v>220</v>
      </c>
      <c r="D208" s="155" t="s">
        <v>221</v>
      </c>
      <c r="G208" s="178">
        <v>0</v>
      </c>
      <c r="H208" s="207">
        <v>0</v>
      </c>
      <c r="I208" s="207">
        <v>0</v>
      </c>
      <c r="J208" s="207">
        <v>0</v>
      </c>
      <c r="K208" s="207">
        <v>283841.15999999997</v>
      </c>
      <c r="L208" s="207">
        <v>78473.240000000005</v>
      </c>
      <c r="M208" s="207">
        <v>319492.37061131862</v>
      </c>
      <c r="N208" s="208">
        <v>436807.52321058628</v>
      </c>
      <c r="O208" s="208">
        <v>446001.30259674409</v>
      </c>
      <c r="P208" s="208">
        <v>455388.58959188254</v>
      </c>
      <c r="Q208" s="208">
        <v>464973.4570797598</v>
      </c>
      <c r="R208" s="208">
        <v>474760.06366883509</v>
      </c>
      <c r="S208" s="208">
        <v>484752.65549657511</v>
      </c>
      <c r="T208" s="208">
        <v>506657.09684709128</v>
      </c>
      <c r="U208" s="208">
        <v>529551.330714343</v>
      </c>
      <c r="V208" s="208">
        <v>553480.08269577916</v>
      </c>
      <c r="W208" s="208">
        <v>578490.09939732577</v>
      </c>
      <c r="X208" s="208">
        <v>598760.04325388756</v>
      </c>
      <c r="Y208" s="208">
        <v>618874.9041573836</v>
      </c>
      <c r="Z208" s="208">
        <v>639665.50759534864</v>
      </c>
      <c r="AA208" s="208">
        <v>649755.90761022118</v>
      </c>
      <c r="AB208" s="208">
        <v>658415.62104059756</v>
      </c>
      <c r="AC208" s="208">
        <v>667190.74802215188</v>
      </c>
      <c r="AD208" s="208">
        <v>675347.8019300981</v>
      </c>
      <c r="AE208" s="208">
        <v>683604.58373243478</v>
      </c>
      <c r="AF208" s="208">
        <v>691962.31269938312</v>
      </c>
      <c r="AG208" s="208">
        <v>700422.22300792439</v>
      </c>
      <c r="AH208" s="208">
        <v>708985.56392405066</v>
      </c>
      <c r="AI208" s="208">
        <v>717653.5999872426</v>
      </c>
      <c r="AJ208" s="208">
        <v>726427.61119720212</v>
      </c>
      <c r="AK208" s="208">
        <v>735308.89320286852</v>
      </c>
      <c r="AL208" s="208">
        <v>744298.75749374588</v>
      </c>
      <c r="AM208" s="208">
        <v>753398.53159356932</v>
      </c>
      <c r="AN208" s="208">
        <v>762609.5592563391</v>
      </c>
      <c r="AO208" s="208">
        <v>771933.20066475193</v>
      </c>
      <c r="AP208" s="208">
        <v>781370.83263105538</v>
      </c>
      <c r="AQ208" s="208">
        <v>790923.84880036325</v>
      </c>
      <c r="AR208" s="208">
        <v>800593.65985645237</v>
      </c>
    </row>
    <row r="209" spans="1:44" x14ac:dyDescent="0.2">
      <c r="B209" s="154">
        <v>2</v>
      </c>
      <c r="C209" s="137" t="s">
        <v>222</v>
      </c>
      <c r="D209" s="155" t="s">
        <v>223</v>
      </c>
      <c r="G209" s="178">
        <v>0</v>
      </c>
      <c r="H209" s="207">
        <v>0</v>
      </c>
      <c r="I209" s="207">
        <v>0</v>
      </c>
      <c r="J209" s="207">
        <v>0</v>
      </c>
      <c r="K209" s="207">
        <v>601982.15132000006</v>
      </c>
      <c r="L209" s="207">
        <v>151584.05350088002</v>
      </c>
      <c r="M209" s="207">
        <v>608001.97283320001</v>
      </c>
      <c r="N209" s="208">
        <v>887457.47807607893</v>
      </c>
      <c r="O209" s="208">
        <v>906136.38774333266</v>
      </c>
      <c r="P209" s="208">
        <v>925208.44488522795</v>
      </c>
      <c r="Q209" s="208">
        <v>944681.92433897825</v>
      </c>
      <c r="R209" s="208">
        <v>964565.27510781644</v>
      </c>
      <c r="S209" s="208">
        <v>984867.12402678421</v>
      </c>
      <c r="T209" s="208">
        <v>1029370.1585366151</v>
      </c>
      <c r="U209" s="208">
        <v>1075884.1446075921</v>
      </c>
      <c r="V209" s="208">
        <v>1124499.9507889238</v>
      </c>
      <c r="W209" s="208">
        <v>1175312.5516925368</v>
      </c>
      <c r="X209" s="208">
        <v>1228421.2135330839</v>
      </c>
      <c r="Y209" s="208">
        <v>1263809.0676065341</v>
      </c>
      <c r="Z209" s="208">
        <v>1280652.6610667862</v>
      </c>
      <c r="AA209" s="208">
        <v>1297720.7398926883</v>
      </c>
      <c r="AB209" s="208">
        <v>1315016.2959445904</v>
      </c>
      <c r="AC209" s="208">
        <v>1332542.3609572786</v>
      </c>
      <c r="AD209" s="208">
        <v>1348833.9835632164</v>
      </c>
      <c r="AE209" s="208">
        <v>1365324.7870544393</v>
      </c>
      <c r="AF209" s="208">
        <v>1382017.2066104249</v>
      </c>
      <c r="AG209" s="208">
        <v>1398913.7071830863</v>
      </c>
      <c r="AH209" s="208">
        <v>1416016.7838607598</v>
      </c>
      <c r="AI209" s="208">
        <v>1433328.962236658</v>
      </c>
      <c r="AJ209" s="208">
        <v>1450852.7987818208</v>
      </c>
      <c r="AK209" s="208">
        <v>1468590.8812226239</v>
      </c>
      <c r="AL209" s="208">
        <v>1486545.8289229078</v>
      </c>
      <c r="AM209" s="208">
        <v>1504720.293270777</v>
      </c>
      <c r="AN209" s="208">
        <v>1523116.9580701254</v>
      </c>
      <c r="AO209" s="208">
        <v>1541738.5399369549</v>
      </c>
      <c r="AP209" s="208">
        <v>1560587.7887005277</v>
      </c>
      <c r="AQ209" s="208">
        <v>1579667.4878094399</v>
      </c>
      <c r="AR209" s="208">
        <v>1598980.4547426447</v>
      </c>
    </row>
    <row r="210" spans="1:44" x14ac:dyDescent="0.2">
      <c r="B210" s="154">
        <v>3</v>
      </c>
      <c r="C210" s="137" t="s">
        <v>224</v>
      </c>
      <c r="D210" s="155" t="s">
        <v>225</v>
      </c>
      <c r="G210" s="178">
        <v>0</v>
      </c>
      <c r="H210" s="207">
        <v>0</v>
      </c>
      <c r="I210" s="207">
        <v>0</v>
      </c>
      <c r="J210" s="207">
        <v>0</v>
      </c>
      <c r="K210" s="207">
        <v>523726.45500000002</v>
      </c>
      <c r="L210" s="207">
        <v>130572.89699999998</v>
      </c>
      <c r="M210" s="207">
        <v>523726.45500000002</v>
      </c>
      <c r="N210" s="208">
        <v>599300.29826187505</v>
      </c>
      <c r="O210" s="208">
        <v>608597.25593703857</v>
      </c>
      <c r="P210" s="208">
        <v>618039.94016945525</v>
      </c>
      <c r="Q210" s="208">
        <v>627630.65063909208</v>
      </c>
      <c r="R210" s="208">
        <v>637371.72347424401</v>
      </c>
      <c r="S210" s="208">
        <v>653738.18714911677</v>
      </c>
      <c r="T210" s="208">
        <v>669778.6808136875</v>
      </c>
      <c r="U210" s="208">
        <v>679419.58804321068</v>
      </c>
      <c r="V210" s="208">
        <v>689200.29920230107</v>
      </c>
      <c r="W210" s="208">
        <v>699122.85216599586</v>
      </c>
      <c r="X210" s="208">
        <v>709403.55449560261</v>
      </c>
      <c r="Y210" s="208">
        <v>718686.92133038631</v>
      </c>
      <c r="Z210" s="208">
        <v>728092.30045483098</v>
      </c>
      <c r="AA210" s="208">
        <v>737621.30087402114</v>
      </c>
      <c r="AB210" s="208">
        <v>747275.55286597344</v>
      </c>
      <c r="AC210" s="208">
        <v>757056.70826344402</v>
      </c>
      <c r="AD210" s="208">
        <v>766192.02092099411</v>
      </c>
      <c r="AE210" s="208">
        <v>775437.81723719719</v>
      </c>
      <c r="AF210" s="208">
        <v>784795.4359379462</v>
      </c>
      <c r="AG210" s="208">
        <v>794266.23199591727</v>
      </c>
      <c r="AH210" s="208">
        <v>803851.57682799629</v>
      </c>
      <c r="AI210" s="208">
        <v>813552.85849511134</v>
      </c>
      <c r="AJ210" s="208">
        <v>823371.48190449062</v>
      </c>
      <c r="AK210" s="208">
        <v>833308.86901438609</v>
      </c>
      <c r="AL210" s="208">
        <v>843366.45904128626</v>
      </c>
      <c r="AM210" s="208">
        <v>853545.70866964536</v>
      </c>
      <c r="AN210" s="208">
        <v>863848.09226417146</v>
      </c>
      <c r="AO210" s="208">
        <v>874275.10208469175</v>
      </c>
      <c r="AP210" s="208">
        <v>884828.24850363354</v>
      </c>
      <c r="AQ210" s="208">
        <v>895509.06022615137</v>
      </c>
      <c r="AR210" s="208">
        <v>906319.08451293188</v>
      </c>
    </row>
    <row r="211" spans="1:44" x14ac:dyDescent="0.2">
      <c r="B211" s="154">
        <v>4</v>
      </c>
      <c r="C211" s="137" t="s">
        <v>226</v>
      </c>
      <c r="D211" s="155" t="s">
        <v>227</v>
      </c>
      <c r="G211" s="178">
        <v>0</v>
      </c>
      <c r="H211" s="207">
        <v>0</v>
      </c>
      <c r="I211" s="207">
        <v>0</v>
      </c>
      <c r="J211" s="207">
        <v>0</v>
      </c>
      <c r="K211" s="207">
        <v>761910.14576198102</v>
      </c>
      <c r="L211" s="207">
        <v>189955.68017627473</v>
      </c>
      <c r="M211" s="207">
        <v>761910.14576198102</v>
      </c>
      <c r="N211" s="208">
        <v>1406746.5903174714</v>
      </c>
      <c r="O211" s="208">
        <v>1439800.1225338588</v>
      </c>
      <c r="P211" s="208">
        <v>1473680.2486406986</v>
      </c>
      <c r="Q211" s="208">
        <v>1508408.1953502919</v>
      </c>
      <c r="R211" s="208">
        <v>1544005.7402747518</v>
      </c>
      <c r="S211" s="208">
        <v>1643089.0966304566</v>
      </c>
      <c r="T211" s="208">
        <v>1746799.2387923263</v>
      </c>
      <c r="U211" s="208">
        <v>1857106.3917923488</v>
      </c>
      <c r="V211" s="208">
        <v>1974432.833880695</v>
      </c>
      <c r="W211" s="208">
        <v>2099228.0095464187</v>
      </c>
      <c r="X211" s="208">
        <v>2189456.5644481904</v>
      </c>
      <c r="Y211" s="208">
        <v>2280886.3237657701</v>
      </c>
      <c r="Z211" s="208">
        <v>2376184.7860375289</v>
      </c>
      <c r="AA211" s="208">
        <v>2477784.3514620713</v>
      </c>
      <c r="AB211" s="208">
        <v>2583841.0893464368</v>
      </c>
      <c r="AC211" s="208">
        <v>2694466.7049697093</v>
      </c>
      <c r="AD211" s="208">
        <v>2807002.3184738015</v>
      </c>
      <c r="AE211" s="208">
        <v>2924264.2591962065</v>
      </c>
      <c r="AF211" s="208">
        <v>3046451.8281879872</v>
      </c>
      <c r="AG211" s="208">
        <v>3175696.7160246824</v>
      </c>
      <c r="AH211" s="208">
        <v>3309271.7607594933</v>
      </c>
      <c r="AI211" s="208">
        <v>3349730.8172265999</v>
      </c>
      <c r="AJ211" s="208">
        <v>3390684.5248944988</v>
      </c>
      <c r="AK211" s="208">
        <v>3432138.9313538116</v>
      </c>
      <c r="AL211" s="208">
        <v>3474100.1581328204</v>
      </c>
      <c r="AM211" s="208">
        <v>3516574.4016014254</v>
      </c>
      <c r="AN211" s="208">
        <v>3559567.9338861597</v>
      </c>
      <c r="AO211" s="208">
        <v>3603087.1037963852</v>
      </c>
      <c r="AP211" s="208">
        <v>3647138.3377618138</v>
      </c>
      <c r="AQ211" s="208">
        <v>3691728.1407814939</v>
      </c>
      <c r="AR211" s="208">
        <v>3736863.0973843937</v>
      </c>
    </row>
    <row r="212" spans="1:44" x14ac:dyDescent="0.2">
      <c r="B212" s="154">
        <v>5</v>
      </c>
      <c r="C212" s="137" t="s">
        <v>228</v>
      </c>
      <c r="D212" s="155" t="s">
        <v>221</v>
      </c>
      <c r="G212" s="178">
        <v>0</v>
      </c>
      <c r="H212" s="207">
        <v>0</v>
      </c>
      <c r="I212" s="207">
        <v>0</v>
      </c>
      <c r="J212" s="207">
        <v>0</v>
      </c>
      <c r="K212" s="207">
        <v>339099.99999999988</v>
      </c>
      <c r="L212" s="207">
        <v>85254.978476878503</v>
      </c>
      <c r="M212" s="207">
        <v>343385.17270429654</v>
      </c>
      <c r="N212" s="208">
        <v>1237807.1014549981</v>
      </c>
      <c r="O212" s="208">
        <v>1257038.4782143694</v>
      </c>
      <c r="P212" s="208">
        <v>1276576.9382914999</v>
      </c>
      <c r="Q212" s="208">
        <v>1296427.3851400123</v>
      </c>
      <c r="R212" s="208">
        <v>1316594.8005110333</v>
      </c>
      <c r="S212" s="208">
        <v>1337084.2457034374</v>
      </c>
      <c r="T212" s="208">
        <v>1356306.0671485201</v>
      </c>
      <c r="U212" s="208">
        <v>1375811.3048588876</v>
      </c>
      <c r="V212" s="208">
        <v>1395604.1376674189</v>
      </c>
      <c r="W212" s="208">
        <v>1415688.8060218194</v>
      </c>
      <c r="X212" s="208">
        <v>1436069.6128931008</v>
      </c>
      <c r="Y212" s="208">
        <v>1454763.5653512985</v>
      </c>
      <c r="Z212" s="208">
        <v>1473706.6640954672</v>
      </c>
      <c r="AA212" s="208">
        <v>1492902.229657847</v>
      </c>
      <c r="AB212" s="208">
        <v>1512353.6268255373</v>
      </c>
      <c r="AC212" s="208">
        <v>1532064.2652303134</v>
      </c>
      <c r="AD212" s="208">
        <v>1550522.1743966667</v>
      </c>
      <c r="AE212" s="208">
        <v>1569478.8116095068</v>
      </c>
      <c r="AF212" s="208">
        <v>1588667.2120956199</v>
      </c>
      <c r="AG212" s="208">
        <v>1608090.2093857746</v>
      </c>
      <c r="AH212" s="208">
        <v>1627750.6716534023</v>
      </c>
      <c r="AI212" s="208">
        <v>1647651.5021381376</v>
      </c>
      <c r="AJ212" s="208">
        <v>1667795.6395745324</v>
      </c>
      <c r="AK212" s="208">
        <v>1688186.0586260194</v>
      </c>
      <c r="AL212" s="208">
        <v>1708825.7703241778</v>
      </c>
      <c r="AM212" s="208">
        <v>1729717.8225133654</v>
      </c>
      <c r="AN212" s="208">
        <v>1750865.3003007944</v>
      </c>
      <c r="AO212" s="208">
        <v>1772271.3265121053</v>
      </c>
      <c r="AP212" s="208">
        <v>1793939.0621525082</v>
      </c>
      <c r="AQ212" s="208">
        <v>1815871.7068735685</v>
      </c>
      <c r="AR212" s="208">
        <v>1838072.4994456957</v>
      </c>
    </row>
    <row r="213" spans="1:44" x14ac:dyDescent="0.2">
      <c r="B213" s="154">
        <v>6</v>
      </c>
      <c r="C213" s="137" t="s">
        <v>229</v>
      </c>
      <c r="D213" s="155" t="s">
        <v>230</v>
      </c>
      <c r="G213" s="178">
        <v>0</v>
      </c>
      <c r="H213" s="207">
        <v>0</v>
      </c>
      <c r="I213" s="207">
        <v>0</v>
      </c>
      <c r="J213" s="207">
        <v>0</v>
      </c>
      <c r="K213" s="207">
        <v>1376185.7560637279</v>
      </c>
      <c r="L213" s="207">
        <v>270345.1083062152</v>
      </c>
      <c r="M213" s="207">
        <v>1028151.0758909014</v>
      </c>
      <c r="N213" s="208">
        <v>1397592.2711692911</v>
      </c>
      <c r="O213" s="208">
        <v>1454859.5199666074</v>
      </c>
      <c r="P213" s="208">
        <v>1514557.2569834003</v>
      </c>
      <c r="Q213" s="208">
        <v>1576791.4888977706</v>
      </c>
      <c r="R213" s="208">
        <v>1641672.9396092137</v>
      </c>
      <c r="S213" s="208">
        <v>1742507.8896139045</v>
      </c>
      <c r="T213" s="208">
        <v>1848104.0579476857</v>
      </c>
      <c r="U213" s="208">
        <v>1960189.5329521976</v>
      </c>
      <c r="V213" s="208">
        <v>2082465.6039082725</v>
      </c>
      <c r="W213" s="208">
        <v>2205492.3258615313</v>
      </c>
      <c r="X213" s="208">
        <v>2236190.1678481014</v>
      </c>
      <c r="Y213" s="208">
        <v>2264347.2473146077</v>
      </c>
      <c r="Z213" s="208">
        <v>2292879.594225951</v>
      </c>
      <c r="AA213" s="208">
        <v>2321792.2100118883</v>
      </c>
      <c r="AB213" s="208">
        <v>2351090.1627594391</v>
      </c>
      <c r="AC213" s="208">
        <v>2380778.588101266</v>
      </c>
      <c r="AD213" s="208">
        <v>2408375.919338109</v>
      </c>
      <c r="AE213" s="208">
        <v>2436310.654712047</v>
      </c>
      <c r="AF213" s="208">
        <v>2464586.9193158569</v>
      </c>
      <c r="AG213" s="208">
        <v>2493208.8886755742</v>
      </c>
      <c r="AH213" s="208">
        <v>2522180.7893670881</v>
      </c>
      <c r="AI213" s="208">
        <v>2551506.8996402817</v>
      </c>
      <c r="AJ213" s="208">
        <v>2581191.5500507867</v>
      </c>
      <c r="AK213" s="208">
        <v>2611239.1240994786</v>
      </c>
      <c r="AL213" s="208">
        <v>2641654.0588797829</v>
      </c>
      <c r="AM213" s="208">
        <v>2672440.8457328947</v>
      </c>
      <c r="AN213" s="208">
        <v>2703604.0309110074</v>
      </c>
      <c r="AO213" s="208">
        <v>2735148.2162486641</v>
      </c>
      <c r="AP213" s="208">
        <v>2768009.3011905225</v>
      </c>
      <c r="AQ213" s="208">
        <v>2801850.8991959523</v>
      </c>
      <c r="AR213" s="208">
        <v>2836106.2435551491</v>
      </c>
    </row>
    <row r="214" spans="1:44" x14ac:dyDescent="0.2">
      <c r="B214" s="154">
        <v>7</v>
      </c>
      <c r="C214" s="137" t="s">
        <v>231</v>
      </c>
      <c r="D214" s="155" t="s">
        <v>225</v>
      </c>
      <c r="G214" s="178">
        <v>0</v>
      </c>
      <c r="H214" s="207">
        <v>0</v>
      </c>
      <c r="I214" s="207">
        <v>0</v>
      </c>
      <c r="J214" s="207">
        <v>0</v>
      </c>
      <c r="K214" s="207">
        <v>228859.21999999997</v>
      </c>
      <c r="L214" s="207">
        <v>93283.67</v>
      </c>
      <c r="M214" s="207">
        <v>281638.61616606661</v>
      </c>
      <c r="N214" s="208">
        <v>288191.06687593681</v>
      </c>
      <c r="O214" s="208">
        <v>293082.19451866008</v>
      </c>
      <c r="P214" s="208">
        <v>298415.76976801164</v>
      </c>
      <c r="Q214" s="208">
        <v>303865.45872208494</v>
      </c>
      <c r="R214" s="208">
        <v>309434.06274927332</v>
      </c>
      <c r="S214" s="208">
        <v>321364.54228654742</v>
      </c>
      <c r="T214" s="208">
        <v>333563.65553755697</v>
      </c>
      <c r="U214" s="208">
        <v>347302.20918567403</v>
      </c>
      <c r="V214" s="208">
        <v>361491.96934120567</v>
      </c>
      <c r="W214" s="208">
        <v>376277.80804763432</v>
      </c>
      <c r="X214" s="208">
        <v>389862.13670886075</v>
      </c>
      <c r="Y214" s="208">
        <v>394408.94853187946</v>
      </c>
      <c r="Z214" s="208">
        <v>399016.35863026278</v>
      </c>
      <c r="AA214" s="208">
        <v>403685.17463606608</v>
      </c>
      <c r="AB214" s="208">
        <v>408416.2149451744</v>
      </c>
      <c r="AC214" s="208">
        <v>413949.2477690854</v>
      </c>
      <c r="AD214" s="208">
        <v>418415.01602156932</v>
      </c>
      <c r="AE214" s="208">
        <v>422935.38262165349</v>
      </c>
      <c r="AF214" s="208">
        <v>427511.01508708356</v>
      </c>
      <c r="AG214" s="208">
        <v>432142.58909665886</v>
      </c>
      <c r="AH214" s="208">
        <v>436830.7885900056</v>
      </c>
      <c r="AI214" s="208">
        <v>441973.09949868493</v>
      </c>
      <c r="AJ214" s="208">
        <v>447120.07500781823</v>
      </c>
      <c r="AK214" s="208">
        <v>452329.9772838697</v>
      </c>
      <c r="AL214" s="208">
        <v>457890.11856080196</v>
      </c>
      <c r="AM214" s="208">
        <v>463488.26930268278</v>
      </c>
      <c r="AN214" s="208">
        <v>469154.86286623316</v>
      </c>
      <c r="AO214" s="208">
        <v>474890.73603132053</v>
      </c>
      <c r="AP214" s="208">
        <v>480696.73580825882</v>
      </c>
      <c r="AQ214" s="208">
        <v>486573.71956288285</v>
      </c>
      <c r="AR214" s="208">
        <v>492522.55514315784</v>
      </c>
    </row>
    <row r="215" spans="1:44" x14ac:dyDescent="0.2">
      <c r="B215" s="154">
        <v>8</v>
      </c>
      <c r="C215" s="137" t="s">
        <v>232</v>
      </c>
      <c r="D215" s="155" t="s">
        <v>233</v>
      </c>
      <c r="G215" s="178">
        <v>0</v>
      </c>
      <c r="H215" s="207">
        <v>0</v>
      </c>
      <c r="I215" s="207">
        <v>0</v>
      </c>
      <c r="J215" s="207">
        <v>0</v>
      </c>
      <c r="K215" s="207">
        <v>1330237</v>
      </c>
      <c r="L215" s="207">
        <v>440707</v>
      </c>
      <c r="M215" s="207">
        <v>1772541.3895412318</v>
      </c>
      <c r="N215" s="208">
        <v>7729869.4444985855</v>
      </c>
      <c r="O215" s="208">
        <v>7853298.6708384436</v>
      </c>
      <c r="P215" s="208">
        <v>7978698.7938440526</v>
      </c>
      <c r="Q215" s="208">
        <v>8106101.2844545292</v>
      </c>
      <c r="R215" s="208">
        <v>8235538.1161315283</v>
      </c>
      <c r="S215" s="208">
        <v>8367041.7728834562</v>
      </c>
      <c r="T215" s="208">
        <v>8490409.6720981188</v>
      </c>
      <c r="U215" s="208">
        <v>8615596.5700664409</v>
      </c>
      <c r="V215" s="208">
        <v>8742629.2870267965</v>
      </c>
      <c r="W215" s="208">
        <v>8871535.0386687405</v>
      </c>
      <c r="X215" s="208">
        <v>9002341.441963736</v>
      </c>
      <c r="Y215" s="208">
        <v>9122321.4162536729</v>
      </c>
      <c r="Z215" s="208">
        <v>9243900.4405600298</v>
      </c>
      <c r="AA215" s="208">
        <v>9367099.8264472578</v>
      </c>
      <c r="AB215" s="208">
        <v>9491941.1695126947</v>
      </c>
      <c r="AC215" s="208">
        <v>9618446.3531720303</v>
      </c>
      <c r="AD215" s="208">
        <v>9736041.1874021217</v>
      </c>
      <c r="AE215" s="208">
        <v>9855073.7325191684</v>
      </c>
      <c r="AF215" s="208">
        <v>9975561.5659329984</v>
      </c>
      <c r="AG215" s="208">
        <v>10097522.479954323</v>
      </c>
      <c r="AH215" s="208">
        <v>10220974.484422086</v>
      </c>
      <c r="AI215" s="208">
        <v>10345935.809363015</v>
      </c>
      <c r="AJ215" s="208">
        <v>10472424.907683549</v>
      </c>
      <c r="AK215" s="208">
        <v>10600460.45789483</v>
      </c>
      <c r="AL215" s="208">
        <v>10730061.366870906</v>
      </c>
      <c r="AM215" s="208">
        <v>10861246.7726407</v>
      </c>
      <c r="AN215" s="208">
        <v>10994036.047214083</v>
      </c>
      <c r="AO215" s="208">
        <v>11128448.799442554</v>
      </c>
      <c r="AP215" s="208">
        <v>11264504.877914822</v>
      </c>
      <c r="AQ215" s="208">
        <v>11402224.373887844</v>
      </c>
      <c r="AR215" s="208">
        <v>11541627.624253681</v>
      </c>
    </row>
    <row r="216" spans="1:44" x14ac:dyDescent="0.2">
      <c r="B216" s="157"/>
      <c r="C216" s="158" t="s">
        <v>84</v>
      </c>
      <c r="D216" s="159"/>
      <c r="E216" s="193"/>
      <c r="F216" s="158"/>
      <c r="G216" s="170">
        <v>0</v>
      </c>
      <c r="H216" s="170">
        <v>0</v>
      </c>
      <c r="I216" s="170">
        <v>0</v>
      </c>
      <c r="J216" s="170">
        <v>0</v>
      </c>
      <c r="K216" s="170">
        <v>5445841.8881457085</v>
      </c>
      <c r="L216" s="170">
        <v>1440176.6274602483</v>
      </c>
      <c r="M216" s="170">
        <v>5638847.1985089965</v>
      </c>
      <c r="N216" s="203">
        <v>13983771.773864822</v>
      </c>
      <c r="O216" s="203">
        <v>14258813.932349056</v>
      </c>
      <c r="P216" s="203">
        <v>14540565.982174229</v>
      </c>
      <c r="Q216" s="203">
        <v>14828879.844622519</v>
      </c>
      <c r="R216" s="203">
        <v>15123942.721526695</v>
      </c>
      <c r="S216" s="203">
        <v>15534445.51379028</v>
      </c>
      <c r="T216" s="203">
        <v>15980988.627721602</v>
      </c>
      <c r="U216" s="203">
        <v>16440861.072220694</v>
      </c>
      <c r="V216" s="203">
        <v>16923804.16451139</v>
      </c>
      <c r="W216" s="203">
        <v>17421147.491402</v>
      </c>
      <c r="X216" s="203">
        <v>17790504.735144563</v>
      </c>
      <c r="Y216" s="203">
        <v>18118098.394311532</v>
      </c>
      <c r="Z216" s="203">
        <v>18434098.312666204</v>
      </c>
      <c r="AA216" s="203">
        <v>18748361.740592062</v>
      </c>
      <c r="AB216" s="203">
        <v>19068349.733240444</v>
      </c>
      <c r="AC216" s="203">
        <v>19396494.976485278</v>
      </c>
      <c r="AD216" s="203">
        <v>19710730.422046579</v>
      </c>
      <c r="AE216" s="203">
        <v>20032430.028682653</v>
      </c>
      <c r="AF216" s="203">
        <v>20361553.495867297</v>
      </c>
      <c r="AG216" s="203">
        <v>20700263.045323938</v>
      </c>
      <c r="AH216" s="203">
        <v>21045862.419404879</v>
      </c>
      <c r="AI216" s="203">
        <v>21301333.548585732</v>
      </c>
      <c r="AJ216" s="203">
        <v>21559868.589094698</v>
      </c>
      <c r="AK216" s="203">
        <v>21821563.19269789</v>
      </c>
      <c r="AL216" s="203">
        <v>22086742.51822643</v>
      </c>
      <c r="AM216" s="203">
        <v>22355132.645325057</v>
      </c>
      <c r="AN216" s="203">
        <v>22626802.784768917</v>
      </c>
      <c r="AO216" s="203">
        <v>22901793.024717428</v>
      </c>
      <c r="AP216" s="203">
        <v>23181075.184663143</v>
      </c>
      <c r="AQ216" s="203">
        <v>23464349.237137698</v>
      </c>
      <c r="AR216" s="203">
        <v>23751085.218894105</v>
      </c>
    </row>
    <row r="217" spans="1:44" x14ac:dyDescent="0.2">
      <c r="B217" s="171"/>
      <c r="C217" s="172"/>
      <c r="D217" s="173"/>
      <c r="E217" s="172"/>
      <c r="F217" s="172"/>
      <c r="G217" s="171"/>
      <c r="H217" s="171"/>
      <c r="I217" s="174"/>
      <c r="J217" s="174"/>
      <c r="K217" s="174"/>
      <c r="L217" s="175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  <c r="Z217" s="176"/>
      <c r="AA217" s="176"/>
      <c r="AB217" s="176"/>
      <c r="AC217" s="176"/>
      <c r="AD217" s="176"/>
      <c r="AE217" s="176"/>
      <c r="AF217" s="176"/>
      <c r="AG217" s="176"/>
      <c r="AH217" s="176"/>
      <c r="AI217" s="176"/>
      <c r="AJ217" s="176"/>
      <c r="AK217" s="176"/>
      <c r="AL217" s="176"/>
      <c r="AM217" s="176"/>
      <c r="AN217" s="176"/>
      <c r="AO217" s="176"/>
      <c r="AP217" s="176"/>
      <c r="AQ217" s="176"/>
      <c r="AR217" s="176"/>
    </row>
    <row r="218" spans="1:44" x14ac:dyDescent="0.2">
      <c r="B218" s="139"/>
      <c r="C218" s="140" t="s">
        <v>260</v>
      </c>
      <c r="D218" s="141"/>
      <c r="E218" s="140"/>
      <c r="F218" s="140"/>
      <c r="G218" s="142"/>
      <c r="H218" s="142"/>
      <c r="I218" s="139"/>
      <c r="J218" s="139"/>
      <c r="K218" s="139"/>
      <c r="L218" s="143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0"/>
      <c r="X218" s="144"/>
      <c r="Y218" s="144"/>
      <c r="Z218" s="144"/>
      <c r="AA218" s="144"/>
      <c r="AB218" s="144"/>
      <c r="AC218" s="144"/>
      <c r="AD218" s="144"/>
      <c r="AE218" s="144"/>
      <c r="AF218" s="144"/>
      <c r="AG218" s="144"/>
      <c r="AH218" s="144"/>
      <c r="AI218" s="144"/>
      <c r="AJ218" s="144"/>
      <c r="AK218" s="144"/>
      <c r="AL218" s="144"/>
      <c r="AM218" s="144"/>
      <c r="AN218" s="144"/>
      <c r="AO218" s="144"/>
      <c r="AP218" s="144"/>
      <c r="AQ218" s="144"/>
      <c r="AR218" s="144"/>
    </row>
    <row r="219" spans="1:44" x14ac:dyDescent="0.2">
      <c r="A219" s="145"/>
      <c r="B219" s="146"/>
      <c r="C219" s="146" t="s">
        <v>218</v>
      </c>
      <c r="D219" s="147" t="s">
        <v>219</v>
      </c>
      <c r="E219" s="146"/>
      <c r="F219" s="146"/>
      <c r="G219" s="148">
        <v>2019</v>
      </c>
      <c r="H219" s="148">
        <v>2020</v>
      </c>
      <c r="I219" s="148">
        <v>2021</v>
      </c>
      <c r="J219" s="148">
        <v>2022</v>
      </c>
      <c r="K219" s="148">
        <v>2023</v>
      </c>
      <c r="L219" s="149">
        <v>45352</v>
      </c>
      <c r="M219" s="148">
        <v>2024</v>
      </c>
      <c r="N219" s="146">
        <v>2025</v>
      </c>
      <c r="O219" s="146">
        <v>2026</v>
      </c>
      <c r="P219" s="146">
        <v>2027</v>
      </c>
      <c r="Q219" s="146">
        <v>2028</v>
      </c>
      <c r="R219" s="146">
        <v>2029</v>
      </c>
      <c r="S219" s="146">
        <v>2030</v>
      </c>
      <c r="T219" s="146">
        <v>2031</v>
      </c>
      <c r="U219" s="146">
        <v>2032</v>
      </c>
      <c r="V219" s="146">
        <v>2033</v>
      </c>
      <c r="W219" s="146">
        <v>2034</v>
      </c>
      <c r="X219" s="146">
        <v>2035</v>
      </c>
      <c r="Y219" s="146">
        <v>2036</v>
      </c>
      <c r="Z219" s="146">
        <v>2037</v>
      </c>
      <c r="AA219" s="146">
        <v>2038</v>
      </c>
      <c r="AB219" s="146">
        <v>2039</v>
      </c>
      <c r="AC219" s="146">
        <v>2040</v>
      </c>
      <c r="AD219" s="146">
        <v>2041</v>
      </c>
      <c r="AE219" s="146">
        <v>2042</v>
      </c>
      <c r="AF219" s="146">
        <v>2043</v>
      </c>
      <c r="AG219" s="146">
        <v>2044</v>
      </c>
      <c r="AH219" s="146">
        <v>2045</v>
      </c>
      <c r="AI219" s="146">
        <v>2046</v>
      </c>
      <c r="AJ219" s="146">
        <v>2047</v>
      </c>
      <c r="AK219" s="146">
        <v>2048</v>
      </c>
      <c r="AL219" s="146">
        <v>2049</v>
      </c>
      <c r="AM219" s="146">
        <v>2050</v>
      </c>
      <c r="AN219" s="146">
        <v>2051</v>
      </c>
      <c r="AO219" s="146">
        <v>2052</v>
      </c>
      <c r="AP219" s="146">
        <v>2053</v>
      </c>
      <c r="AQ219" s="146">
        <v>2054</v>
      </c>
      <c r="AR219" s="146">
        <v>2055</v>
      </c>
    </row>
    <row r="220" spans="1:44" x14ac:dyDescent="0.2">
      <c r="A220" s="184"/>
      <c r="B220" s="185"/>
      <c r="C220" s="185"/>
      <c r="D220" s="186"/>
      <c r="E220" s="185"/>
      <c r="F220" s="185"/>
      <c r="G220" s="187"/>
      <c r="H220" s="187"/>
      <c r="I220" s="187"/>
      <c r="J220" s="187"/>
      <c r="K220" s="188"/>
      <c r="L220" s="188"/>
      <c r="M220" s="188"/>
      <c r="N220" s="188"/>
      <c r="O220" s="185"/>
      <c r="P220" s="185"/>
      <c r="Q220" s="185"/>
      <c r="R220" s="185"/>
      <c r="S220" s="185"/>
      <c r="T220" s="185"/>
      <c r="U220" s="185"/>
      <c r="V220" s="185"/>
      <c r="W220" s="185"/>
      <c r="X220" s="185"/>
      <c r="Y220" s="185"/>
      <c r="Z220" s="185"/>
      <c r="AA220" s="185"/>
      <c r="AB220" s="185"/>
      <c r="AC220" s="185"/>
      <c r="AD220" s="185"/>
      <c r="AE220" s="185"/>
      <c r="AF220" s="185"/>
      <c r="AG220" s="185"/>
      <c r="AH220" s="185"/>
      <c r="AI220" s="185"/>
      <c r="AJ220" s="185"/>
      <c r="AK220" s="185"/>
      <c r="AL220" s="185"/>
      <c r="AM220" s="185"/>
      <c r="AN220" s="185"/>
      <c r="AO220" s="185"/>
      <c r="AP220" s="185"/>
      <c r="AQ220" s="185"/>
      <c r="AR220" s="185"/>
    </row>
    <row r="221" spans="1:44" x14ac:dyDescent="0.2">
      <c r="B221" s="198"/>
      <c r="C221" s="198"/>
      <c r="D221" s="199"/>
      <c r="E221" s="200"/>
      <c r="F221" s="198"/>
      <c r="G221" s="150"/>
      <c r="H221" s="150"/>
      <c r="I221" s="150"/>
      <c r="J221" s="150"/>
      <c r="K221" s="150"/>
      <c r="L221" s="150"/>
      <c r="M221" s="150"/>
      <c r="N221" s="198"/>
      <c r="O221" s="198"/>
      <c r="P221" s="198"/>
      <c r="Q221" s="198"/>
      <c r="R221" s="198"/>
      <c r="S221" s="198"/>
      <c r="T221" s="198"/>
      <c r="U221" s="198"/>
      <c r="V221" s="198"/>
      <c r="W221" s="198"/>
      <c r="X221" s="198"/>
      <c r="Y221" s="198"/>
      <c r="Z221" s="198"/>
      <c r="AA221" s="198"/>
      <c r="AB221" s="198"/>
      <c r="AC221" s="198"/>
      <c r="AD221" s="198"/>
      <c r="AE221" s="198"/>
      <c r="AF221" s="198"/>
      <c r="AG221" s="198"/>
      <c r="AH221" s="198"/>
      <c r="AI221" s="198"/>
      <c r="AJ221" s="198"/>
      <c r="AK221" s="198"/>
      <c r="AL221" s="198"/>
      <c r="AM221" s="198"/>
      <c r="AN221" s="198"/>
      <c r="AO221" s="198"/>
      <c r="AP221" s="198"/>
      <c r="AQ221" s="198"/>
      <c r="AR221" s="198"/>
    </row>
    <row r="222" spans="1:44" x14ac:dyDescent="0.2">
      <c r="B222" s="154">
        <v>1</v>
      </c>
      <c r="C222" s="137" t="s">
        <v>220</v>
      </c>
      <c r="D222" s="155" t="s">
        <v>221</v>
      </c>
      <c r="G222" s="207">
        <v>0</v>
      </c>
      <c r="H222" s="207">
        <v>0</v>
      </c>
      <c r="I222" s="207">
        <v>0</v>
      </c>
      <c r="J222" s="207">
        <v>0</v>
      </c>
      <c r="K222" s="207">
        <v>18511.38</v>
      </c>
      <c r="L222" s="207">
        <v>5117.82</v>
      </c>
      <c r="M222" s="207">
        <v>20732.794978021975</v>
      </c>
      <c r="N222" s="207">
        <v>20836.458952912086</v>
      </c>
      <c r="O222" s="207">
        <v>20940.641247676642</v>
      </c>
      <c r="P222" s="207">
        <v>21045.34445391503</v>
      </c>
      <c r="Q222" s="207">
        <v>21150.571176184603</v>
      </c>
      <c r="R222" s="207">
        <v>21256.324032065528</v>
      </c>
      <c r="S222" s="207">
        <v>21681.450512706837</v>
      </c>
      <c r="T222" s="207">
        <v>23220.833499109023</v>
      </c>
      <c r="U222" s="207">
        <v>24869.512677545761</v>
      </c>
      <c r="V222" s="207">
        <v>26635.248077651515</v>
      </c>
      <c r="W222" s="207">
        <v>28526.350691164778</v>
      </c>
      <c r="X222" s="207">
        <v>30112.415789593535</v>
      </c>
      <c r="Y222" s="207">
        <v>31786.666107494941</v>
      </c>
      <c r="Z222" s="207">
        <v>33554.004743071651</v>
      </c>
      <c r="AA222" s="207">
        <v>35419.607406786432</v>
      </c>
      <c r="AB222" s="207">
        <v>37388.937578603756</v>
      </c>
      <c r="AC222" s="207">
        <v>38430.742842568288</v>
      </c>
      <c r="AD222" s="207">
        <v>38815.050270993968</v>
      </c>
      <c r="AE222" s="207">
        <v>39203.200773703902</v>
      </c>
      <c r="AF222" s="207">
        <v>39595.232781440965</v>
      </c>
      <c r="AG222" s="207">
        <v>39991.18510925537</v>
      </c>
      <c r="AH222" s="207">
        <v>40391.096960347917</v>
      </c>
      <c r="AI222" s="207">
        <v>40795.007929951396</v>
      </c>
      <c r="AJ222" s="207">
        <v>41202.958009250913</v>
      </c>
      <c r="AK222" s="207">
        <v>41614.987589343422</v>
      </c>
      <c r="AL222" s="207">
        <v>42031.137465236854</v>
      </c>
      <c r="AM222" s="207">
        <v>42451.448839889214</v>
      </c>
      <c r="AN222" s="207">
        <v>42875.963328288126</v>
      </c>
      <c r="AO222" s="207">
        <v>43304.722961570995</v>
      </c>
      <c r="AP222" s="207">
        <v>43737.770191186712</v>
      </c>
      <c r="AQ222" s="207">
        <v>44175.147893098561</v>
      </c>
      <c r="AR222" s="207">
        <v>44616.899372029569</v>
      </c>
    </row>
    <row r="223" spans="1:44" x14ac:dyDescent="0.2">
      <c r="B223" s="154">
        <v>2</v>
      </c>
      <c r="C223" s="137" t="s">
        <v>222</v>
      </c>
      <c r="D223" s="155" t="s">
        <v>223</v>
      </c>
      <c r="G223" s="156">
        <v>0</v>
      </c>
      <c r="H223" s="156">
        <v>0</v>
      </c>
      <c r="I223" s="156">
        <v>0</v>
      </c>
      <c r="J223" s="156">
        <v>0</v>
      </c>
      <c r="K223" s="156">
        <v>0</v>
      </c>
      <c r="L223" s="156">
        <v>0</v>
      </c>
      <c r="M223" s="156">
        <v>0</v>
      </c>
      <c r="N223" s="156">
        <v>0</v>
      </c>
      <c r="O223" s="156">
        <v>0</v>
      </c>
      <c r="P223" s="156">
        <v>0</v>
      </c>
      <c r="Q223" s="156">
        <v>0</v>
      </c>
      <c r="R223" s="156">
        <v>0</v>
      </c>
      <c r="S223" s="156">
        <v>0</v>
      </c>
      <c r="T223" s="156">
        <v>0</v>
      </c>
      <c r="U223" s="156">
        <v>0</v>
      </c>
      <c r="V223" s="156">
        <v>0</v>
      </c>
      <c r="W223" s="156">
        <v>0</v>
      </c>
      <c r="X223" s="156">
        <v>0</v>
      </c>
      <c r="Y223" s="156">
        <v>0</v>
      </c>
      <c r="Z223" s="156">
        <v>0</v>
      </c>
      <c r="AA223" s="156">
        <v>0</v>
      </c>
      <c r="AB223" s="156">
        <v>0</v>
      </c>
      <c r="AC223" s="156">
        <v>0</v>
      </c>
      <c r="AD223" s="156">
        <v>0</v>
      </c>
      <c r="AE223" s="156">
        <v>0</v>
      </c>
      <c r="AF223" s="156">
        <v>0</v>
      </c>
      <c r="AG223" s="156">
        <v>0</v>
      </c>
      <c r="AH223" s="156">
        <v>0</v>
      </c>
      <c r="AI223" s="156">
        <v>0</v>
      </c>
      <c r="AJ223" s="156">
        <v>0</v>
      </c>
      <c r="AK223" s="156">
        <v>0</v>
      </c>
      <c r="AL223" s="156">
        <v>0</v>
      </c>
      <c r="AM223" s="156">
        <v>0</v>
      </c>
      <c r="AN223" s="156">
        <v>0</v>
      </c>
      <c r="AO223" s="156">
        <v>0</v>
      </c>
      <c r="AP223" s="156">
        <v>0</v>
      </c>
      <c r="AQ223" s="156">
        <v>0</v>
      </c>
      <c r="AR223" s="156">
        <v>0</v>
      </c>
    </row>
    <row r="224" spans="1:44" x14ac:dyDescent="0.2">
      <c r="B224" s="154">
        <v>3</v>
      </c>
      <c r="C224" s="137" t="s">
        <v>224</v>
      </c>
      <c r="D224" s="155" t="s">
        <v>225</v>
      </c>
      <c r="G224" s="156">
        <v>0</v>
      </c>
      <c r="H224" s="156">
        <v>0</v>
      </c>
      <c r="I224" s="156">
        <v>0</v>
      </c>
      <c r="J224" s="156">
        <v>0</v>
      </c>
      <c r="K224" s="156">
        <v>230409.89999999994</v>
      </c>
      <c r="L224" s="156">
        <v>57444.659999999996</v>
      </c>
      <c r="M224" s="156">
        <v>230409.89999999994</v>
      </c>
      <c r="N224" s="156">
        <v>231561.94949999999</v>
      </c>
      <c r="O224" s="156">
        <v>232719.75924749993</v>
      </c>
      <c r="P224" s="156">
        <v>233883.35804373742</v>
      </c>
      <c r="Q224" s="156">
        <v>235052.77483395615</v>
      </c>
      <c r="R224" s="156">
        <v>236228.03870812591</v>
      </c>
      <c r="S224" s="156">
        <v>255504.24666670893</v>
      </c>
      <c r="T224" s="156">
        <v>265724.41653337731</v>
      </c>
      <c r="U224" s="156">
        <v>276353.39319471247</v>
      </c>
      <c r="V224" s="156">
        <v>287407.52892250096</v>
      </c>
      <c r="W224" s="156">
        <v>298903.83007940109</v>
      </c>
      <c r="X224" s="156">
        <v>301892.86838019505</v>
      </c>
      <c r="Y224" s="156">
        <v>304911.79706399696</v>
      </c>
      <c r="Z224" s="156">
        <v>307960.91503463691</v>
      </c>
      <c r="AA224" s="156">
        <v>311040.52418498328</v>
      </c>
      <c r="AB224" s="156">
        <v>314150.92942683306</v>
      </c>
      <c r="AC224" s="156">
        <v>317292.4387211015</v>
      </c>
      <c r="AD224" s="156">
        <v>320465.36310831242</v>
      </c>
      <c r="AE224" s="156">
        <v>323670.01673939556</v>
      </c>
      <c r="AF224" s="156">
        <v>326906.71690678952</v>
      </c>
      <c r="AG224" s="156">
        <v>330175.78407585737</v>
      </c>
      <c r="AH224" s="156">
        <v>331826.6629962367</v>
      </c>
      <c r="AI224" s="156">
        <v>333485.79631121788</v>
      </c>
      <c r="AJ224" s="156">
        <v>335153.22529277398</v>
      </c>
      <c r="AK224" s="156">
        <v>336828.99141923775</v>
      </c>
      <c r="AL224" s="156">
        <v>338513.13637633406</v>
      </c>
      <c r="AM224" s="156">
        <v>340205.70205821574</v>
      </c>
      <c r="AN224" s="156">
        <v>341906.73056850664</v>
      </c>
      <c r="AO224" s="156">
        <v>343616.26422134915</v>
      </c>
      <c r="AP224" s="156">
        <v>345334.34554245597</v>
      </c>
      <c r="AQ224" s="156">
        <v>347061.01727016817</v>
      </c>
      <c r="AR224" s="156">
        <v>348796.32235651906</v>
      </c>
    </row>
    <row r="225" spans="1:44" x14ac:dyDescent="0.2">
      <c r="B225" s="154">
        <v>4</v>
      </c>
      <c r="C225" s="137" t="s">
        <v>226</v>
      </c>
      <c r="D225" s="155" t="s">
        <v>227</v>
      </c>
      <c r="G225" s="156">
        <v>0</v>
      </c>
      <c r="H225" s="156">
        <v>0</v>
      </c>
      <c r="I225" s="156">
        <v>0</v>
      </c>
      <c r="J225" s="156">
        <v>0</v>
      </c>
      <c r="K225" s="156">
        <v>13204.877062726031</v>
      </c>
      <c r="L225" s="156">
        <v>3292.1748293371747</v>
      </c>
      <c r="M225" s="156">
        <v>13204.877062726031</v>
      </c>
      <c r="N225" s="156">
        <v>917380.47914723097</v>
      </c>
      <c r="O225" s="156">
        <v>922016.94242832973</v>
      </c>
      <c r="P225" s="156">
        <v>926677.16882744303</v>
      </c>
      <c r="Q225" s="156">
        <v>931361.28296817676</v>
      </c>
      <c r="R225" s="156">
        <v>936069.41015533544</v>
      </c>
      <c r="S225" s="156">
        <v>941043.43017219089</v>
      </c>
      <c r="T225" s="156">
        <v>946051.38605637872</v>
      </c>
      <c r="U225" s="156">
        <v>951093.71946025314</v>
      </c>
      <c r="V225" s="156">
        <v>956170.88240362029</v>
      </c>
      <c r="W225" s="156">
        <v>961283.33757035225</v>
      </c>
      <c r="X225" s="156">
        <v>966291.42916136654</v>
      </c>
      <c r="Y225" s="156">
        <v>971328.76509390981</v>
      </c>
      <c r="Z225" s="156">
        <v>976395.57566736091</v>
      </c>
      <c r="AA225" s="156">
        <v>981492.09401414962</v>
      </c>
      <c r="AB225" s="156">
        <v>986618.55614755163</v>
      </c>
      <c r="AC225" s="156">
        <v>991620.48677197588</v>
      </c>
      <c r="AD225" s="156">
        <v>996648.20062071434</v>
      </c>
      <c r="AE225" s="156">
        <v>1001701.8343456006</v>
      </c>
      <c r="AF225" s="156">
        <v>1006781.5253590841</v>
      </c>
      <c r="AG225" s="156">
        <v>1011887.4118388083</v>
      </c>
      <c r="AH225" s="156">
        <v>1017019.6327322153</v>
      </c>
      <c r="AI225" s="156">
        <v>1022178.3277611869</v>
      </c>
      <c r="AJ225" s="156">
        <v>1027363.6374267119</v>
      </c>
      <c r="AK225" s="156">
        <v>1032575.7030135866</v>
      </c>
      <c r="AL225" s="156">
        <v>1037814.6665951482</v>
      </c>
      <c r="AM225" s="156">
        <v>1043080.6710380381</v>
      </c>
      <c r="AN225" s="156">
        <v>1048373.8600069967</v>
      </c>
      <c r="AO225" s="156">
        <v>1053694.3779696932</v>
      </c>
      <c r="AP225" s="156">
        <v>1059042.3702015849</v>
      </c>
      <c r="AQ225" s="156">
        <v>1064417.9827908117</v>
      </c>
      <c r="AR225" s="156">
        <v>1069821.362643122</v>
      </c>
    </row>
    <row r="226" spans="1:44" x14ac:dyDescent="0.2">
      <c r="B226" s="154">
        <v>5</v>
      </c>
      <c r="C226" s="137" t="s">
        <v>228</v>
      </c>
      <c r="D226" s="155" t="s">
        <v>221</v>
      </c>
      <c r="G226" s="156">
        <v>0</v>
      </c>
      <c r="H226" s="156">
        <v>0</v>
      </c>
      <c r="I226" s="156">
        <v>0</v>
      </c>
      <c r="J226" s="156">
        <v>0</v>
      </c>
      <c r="K226" s="156">
        <v>58779.999999999985</v>
      </c>
      <c r="L226" s="156">
        <v>14667.679529931858</v>
      </c>
      <c r="M226" s="156">
        <v>58831.901411265135</v>
      </c>
      <c r="N226" s="156">
        <v>59420.220425377789</v>
      </c>
      <c r="O226" s="156">
        <v>60014.422629631576</v>
      </c>
      <c r="P226" s="156">
        <v>60614.566855927886</v>
      </c>
      <c r="Q226" s="156">
        <v>61220.712524487157</v>
      </c>
      <c r="R226" s="156">
        <v>63057.333900221776</v>
      </c>
      <c r="S226" s="156">
        <v>65598.544456400719</v>
      </c>
      <c r="T226" s="156">
        <v>67566.50079009273</v>
      </c>
      <c r="U226" s="156">
        <v>69593.495813795511</v>
      </c>
      <c r="V226" s="156">
        <v>71681.300688209391</v>
      </c>
      <c r="W226" s="156">
        <v>73114.926701973571</v>
      </c>
      <c r="X226" s="156">
        <v>74577.225236013051</v>
      </c>
      <c r="Y226" s="156">
        <v>76068.769740733303</v>
      </c>
      <c r="Z226" s="156">
        <v>77590.14513554798</v>
      </c>
      <c r="AA226" s="156">
        <v>79141.94803825891</v>
      </c>
      <c r="AB226" s="156">
        <v>79933.36751864152</v>
      </c>
      <c r="AC226" s="156">
        <v>80732.701193827932</v>
      </c>
      <c r="AD226" s="156">
        <v>81540.028205766212</v>
      </c>
      <c r="AE226" s="156">
        <v>82355.428487823883</v>
      </c>
      <c r="AF226" s="156">
        <v>83178.982772702118</v>
      </c>
      <c r="AG226" s="156">
        <v>84010.772600429147</v>
      </c>
      <c r="AH226" s="156">
        <v>84850.880326433413</v>
      </c>
      <c r="AI226" s="156">
        <v>85699.389129697767</v>
      </c>
      <c r="AJ226" s="156">
        <v>86556.383020994719</v>
      </c>
      <c r="AK226" s="156">
        <v>87421.946851204702</v>
      </c>
      <c r="AL226" s="156">
        <v>88296.166319716751</v>
      </c>
      <c r="AM226" s="156">
        <v>89179.127982913909</v>
      </c>
      <c r="AN226" s="156">
        <v>90070.919262743046</v>
      </c>
      <c r="AO226" s="156">
        <v>90971.628455370475</v>
      </c>
      <c r="AP226" s="156">
        <v>91881.344739924185</v>
      </c>
      <c r="AQ226" s="156">
        <v>92800.15818732341</v>
      </c>
      <c r="AR226" s="156">
        <v>93728.159769196645</v>
      </c>
    </row>
    <row r="227" spans="1:44" x14ac:dyDescent="0.2">
      <c r="B227" s="154">
        <v>6</v>
      </c>
      <c r="C227" s="137" t="s">
        <v>229</v>
      </c>
      <c r="D227" s="155" t="s">
        <v>230</v>
      </c>
      <c r="G227" s="156">
        <v>0</v>
      </c>
      <c r="H227" s="156">
        <v>0</v>
      </c>
      <c r="I227" s="156">
        <v>0</v>
      </c>
      <c r="J227" s="156">
        <v>0</v>
      </c>
      <c r="K227" s="156">
        <v>96253.243936272265</v>
      </c>
      <c r="L227" s="156">
        <v>19071.891693784819</v>
      </c>
      <c r="M227" s="156">
        <v>76497.148002543516</v>
      </c>
      <c r="N227" s="156">
        <v>2096370.1407617116</v>
      </c>
      <c r="O227" s="156">
        <v>2151623.0316649675</v>
      </c>
      <c r="P227" s="156">
        <v>2203157.9699935345</v>
      </c>
      <c r="Q227" s="156">
        <v>2255488.4094507452</v>
      </c>
      <c r="R227" s="156">
        <v>2308667.146064572</v>
      </c>
      <c r="S227" s="156">
        <v>2371202.2398159034</v>
      </c>
      <c r="T227" s="156">
        <v>2436273.8824569052</v>
      </c>
      <c r="U227" s="156">
        <v>2513260.3203844363</v>
      </c>
      <c r="V227" s="156">
        <v>2588897.0733261951</v>
      </c>
      <c r="W227" s="156">
        <v>2668071.7445451105</v>
      </c>
      <c r="X227" s="156">
        <v>2733054.7588674845</v>
      </c>
      <c r="Y227" s="156">
        <v>2808451.0719677038</v>
      </c>
      <c r="Z227" s="156">
        <v>2875917.1509590801</v>
      </c>
      <c r="AA227" s="156">
        <v>2953984.6961410176</v>
      </c>
      <c r="AB227" s="156">
        <v>3028868.1554793594</v>
      </c>
      <c r="AC227" s="156">
        <v>3093208.6988366772</v>
      </c>
      <c r="AD227" s="156">
        <v>3157581.8866162975</v>
      </c>
      <c r="AE227" s="156">
        <v>3217341.8465610431</v>
      </c>
      <c r="AF227" s="156">
        <v>3281781.2038818039</v>
      </c>
      <c r="AG227" s="156">
        <v>3336961.7620560192</v>
      </c>
      <c r="AH227" s="156">
        <v>3415406.976407635</v>
      </c>
      <c r="AI227" s="156">
        <v>3484593.9964496186</v>
      </c>
      <c r="AJ227" s="156">
        <v>3553815.4586926987</v>
      </c>
      <c r="AK227" s="156">
        <v>3627717.8376378538</v>
      </c>
      <c r="AL227" s="156">
        <v>3701655.2809008504</v>
      </c>
      <c r="AM227" s="156">
        <v>3775628.1039511869</v>
      </c>
      <c r="AN227" s="156">
        <v>3858928.9550442491</v>
      </c>
      <c r="AO227" s="156">
        <v>3937619.6609255066</v>
      </c>
      <c r="AP227" s="156">
        <v>4016346.7109914767</v>
      </c>
      <c r="AQ227" s="156">
        <v>4104402.7626086231</v>
      </c>
      <c r="AR227" s="156">
        <v>4187849.651721932</v>
      </c>
    </row>
    <row r="228" spans="1:44" x14ac:dyDescent="0.2">
      <c r="B228" s="154">
        <v>7</v>
      </c>
      <c r="C228" s="137" t="s">
        <v>231</v>
      </c>
      <c r="D228" s="155" t="s">
        <v>225</v>
      </c>
      <c r="G228" s="156">
        <v>0</v>
      </c>
      <c r="H228" s="156">
        <v>0</v>
      </c>
      <c r="I228" s="156">
        <v>0</v>
      </c>
      <c r="J228" s="156">
        <v>0</v>
      </c>
      <c r="K228" s="156">
        <v>32734.260000000002</v>
      </c>
      <c r="L228" s="156">
        <v>13782.989999999998</v>
      </c>
      <c r="M228" s="156">
        <v>42131.145190082643</v>
      </c>
      <c r="N228" s="156">
        <v>42977.981208403304</v>
      </c>
      <c r="O228" s="156">
        <v>43841.838630692211</v>
      </c>
      <c r="P228" s="156">
        <v>44723.059587169126</v>
      </c>
      <c r="Q228" s="156">
        <v>45621.993084871225</v>
      </c>
      <c r="R228" s="156">
        <v>46538.995145877132</v>
      </c>
      <c r="S228" s="156">
        <v>49852.571600263589</v>
      </c>
      <c r="T228" s="156">
        <v>53402.074698202363</v>
      </c>
      <c r="U228" s="156">
        <v>57204.302416714367</v>
      </c>
      <c r="V228" s="156">
        <v>61277.248748784441</v>
      </c>
      <c r="W228" s="156">
        <v>65640.188859697897</v>
      </c>
      <c r="X228" s="156">
        <v>68292.052489629685</v>
      </c>
      <c r="Y228" s="156">
        <v>69657.893539422279</v>
      </c>
      <c r="Z228" s="156">
        <v>71051.051410210726</v>
      </c>
      <c r="AA228" s="156">
        <v>72472.072438414951</v>
      </c>
      <c r="AB228" s="156">
        <v>73921.513887183231</v>
      </c>
      <c r="AC228" s="156">
        <v>74660.72902605508</v>
      </c>
      <c r="AD228" s="156">
        <v>75407.336316315617</v>
      </c>
      <c r="AE228" s="156">
        <v>76161.409679478777</v>
      </c>
      <c r="AF228" s="156">
        <v>76923.023776273563</v>
      </c>
      <c r="AG228" s="156">
        <v>77692.254014036313</v>
      </c>
      <c r="AH228" s="156">
        <v>78469.176554176665</v>
      </c>
      <c r="AI228" s="156">
        <v>79253.868319718429</v>
      </c>
      <c r="AJ228" s="156">
        <v>80046.407002915614</v>
      </c>
      <c r="AK228" s="156">
        <v>80846.871072944792</v>
      </c>
      <c r="AL228" s="156">
        <v>81655.339783674237</v>
      </c>
      <c r="AM228" s="156">
        <v>82471.893181510968</v>
      </c>
      <c r="AN228" s="156">
        <v>83296.612113326089</v>
      </c>
      <c r="AO228" s="156">
        <v>84129.578234459317</v>
      </c>
      <c r="AP228" s="156">
        <v>84970.874016803922</v>
      </c>
      <c r="AQ228" s="156">
        <v>85820.58275697197</v>
      </c>
      <c r="AR228" s="156">
        <v>86678.788584541704</v>
      </c>
    </row>
    <row r="229" spans="1:44" x14ac:dyDescent="0.2">
      <c r="B229" s="154">
        <v>8</v>
      </c>
      <c r="C229" s="137" t="s">
        <v>232</v>
      </c>
      <c r="D229" s="155" t="s">
        <v>233</v>
      </c>
      <c r="G229" s="156">
        <v>0</v>
      </c>
      <c r="H229" s="156">
        <v>0</v>
      </c>
      <c r="I229" s="156">
        <v>0</v>
      </c>
      <c r="J229" s="156">
        <v>0</v>
      </c>
      <c r="K229" s="156">
        <v>40885</v>
      </c>
      <c r="L229" s="156">
        <v>9793</v>
      </c>
      <c r="M229" s="156">
        <v>39279.61538461539</v>
      </c>
      <c r="N229" s="156">
        <v>1853883.1921413725</v>
      </c>
      <c r="O229" s="156">
        <v>1861801.9859583576</v>
      </c>
      <c r="P229" s="156">
        <v>1869903.5048538276</v>
      </c>
      <c r="Q229" s="156">
        <v>1878193.1043310615</v>
      </c>
      <c r="R229" s="156">
        <v>1886676.2997180824</v>
      </c>
      <c r="S229" s="156">
        <v>1896184.4363650859</v>
      </c>
      <c r="T229" s="156">
        <v>1905930.7249591555</v>
      </c>
      <c r="U229" s="156">
        <v>1915922.26296655</v>
      </c>
      <c r="V229" s="156">
        <v>1926166.3607304248</v>
      </c>
      <c r="W229" s="156">
        <v>1936670.5478570908</v>
      </c>
      <c r="X229" s="156">
        <v>1946963.9935415459</v>
      </c>
      <c r="Y229" s="156">
        <v>1957509.3427869894</v>
      </c>
      <c r="Z229" s="156">
        <v>1968313.9139376655</v>
      </c>
      <c r="AA229" s="156">
        <v>1979385.2410121278</v>
      </c>
      <c r="AB229" s="156">
        <v>1990731.0800968471</v>
      </c>
      <c r="AC229" s="156">
        <v>2001831.0180362393</v>
      </c>
      <c r="AD229" s="156">
        <v>2013205.8209572604</v>
      </c>
      <c r="AE229" s="156">
        <v>2024863.5815645815</v>
      </c>
      <c r="AF229" s="156">
        <v>2036812.6342396534</v>
      </c>
      <c r="AG229" s="156">
        <v>2049061.5622803934</v>
      </c>
      <c r="AH229" s="156">
        <v>2061619.2053579597</v>
      </c>
      <c r="AI229" s="156">
        <v>2074494.6671971183</v>
      </c>
      <c r="AJ229" s="156">
        <v>2087697.3234869156</v>
      </c>
      <c r="AK229" s="156">
        <v>2101236.8300285656</v>
      </c>
      <c r="AL229" s="156">
        <v>2115123.1311276555</v>
      </c>
      <c r="AM229" s="156">
        <v>2129366.4682380124</v>
      </c>
      <c r="AN229" s="156">
        <v>2143977.3888647743</v>
      </c>
      <c r="AO229" s="156">
        <v>2158966.7557344353</v>
      </c>
      <c r="AP229" s="156">
        <v>2174345.7562398831</v>
      </c>
      <c r="AQ229" s="156">
        <v>2190125.9121686635</v>
      </c>
      <c r="AR229" s="156">
        <v>2206319.0897229891</v>
      </c>
    </row>
    <row r="230" spans="1:44" x14ac:dyDescent="0.2">
      <c r="B230" s="157"/>
      <c r="C230" s="158" t="s">
        <v>84</v>
      </c>
      <c r="D230" s="159"/>
      <c r="E230" s="193"/>
      <c r="F230" s="158"/>
      <c r="G230" s="170">
        <v>0</v>
      </c>
      <c r="H230" s="170">
        <v>0</v>
      </c>
      <c r="I230" s="170">
        <v>0</v>
      </c>
      <c r="J230" s="170">
        <v>0</v>
      </c>
      <c r="K230" s="170">
        <v>490778.66099899827</v>
      </c>
      <c r="L230" s="170">
        <v>123170.21605305385</v>
      </c>
      <c r="M230" s="170">
        <v>481087.38202925463</v>
      </c>
      <c r="N230" s="160">
        <v>5222430.422137008</v>
      </c>
      <c r="O230" s="160">
        <v>5292958.6218071552</v>
      </c>
      <c r="P230" s="160">
        <v>5360004.972615554</v>
      </c>
      <c r="Q230" s="160">
        <v>5428088.8483694829</v>
      </c>
      <c r="R230" s="160">
        <v>5498493.5477242805</v>
      </c>
      <c r="S230" s="160">
        <v>5601066.9195892606</v>
      </c>
      <c r="T230" s="160">
        <v>5698169.818993221</v>
      </c>
      <c r="U230" s="160">
        <v>5808297.0069140084</v>
      </c>
      <c r="V230" s="160">
        <v>5918235.642897387</v>
      </c>
      <c r="W230" s="160">
        <v>6032210.9263047911</v>
      </c>
      <c r="X230" s="160">
        <v>6121184.7434658278</v>
      </c>
      <c r="Y230" s="160">
        <v>6219714.3063002499</v>
      </c>
      <c r="Z230" s="160">
        <v>6310782.7568875728</v>
      </c>
      <c r="AA230" s="160">
        <v>6412936.1832357384</v>
      </c>
      <c r="AB230" s="160">
        <v>6511612.5401350195</v>
      </c>
      <c r="AC230" s="160">
        <v>6597776.8154284451</v>
      </c>
      <c r="AD230" s="160">
        <v>6683663.6860956606</v>
      </c>
      <c r="AE230" s="160">
        <v>6765297.3181516267</v>
      </c>
      <c r="AF230" s="160">
        <v>6851979.3197177472</v>
      </c>
      <c r="AG230" s="160">
        <v>6929780.7319747992</v>
      </c>
      <c r="AH230" s="160">
        <v>7029583.6313350052</v>
      </c>
      <c r="AI230" s="160">
        <v>7120501.0530985091</v>
      </c>
      <c r="AJ230" s="160">
        <v>7211835.3929322613</v>
      </c>
      <c r="AK230" s="160">
        <v>7308243.167612737</v>
      </c>
      <c r="AL230" s="160">
        <v>7405088.8585686162</v>
      </c>
      <c r="AM230" s="160">
        <v>7502383.4152897671</v>
      </c>
      <c r="AN230" s="160">
        <v>7609430.4291888839</v>
      </c>
      <c r="AO230" s="160">
        <v>7712302.9885023851</v>
      </c>
      <c r="AP230" s="160">
        <v>7815659.1719233152</v>
      </c>
      <c r="AQ230" s="160">
        <v>7928803.5636756606</v>
      </c>
      <c r="AR230" s="160">
        <v>8037810.2741703298</v>
      </c>
    </row>
    <row r="231" spans="1:44" x14ac:dyDescent="0.2">
      <c r="B231" s="171"/>
      <c r="C231" s="172"/>
      <c r="D231" s="173"/>
      <c r="E231" s="172"/>
      <c r="F231" s="172"/>
      <c r="G231" s="171"/>
      <c r="H231" s="171"/>
      <c r="I231" s="174"/>
      <c r="J231" s="174"/>
      <c r="K231" s="174"/>
      <c r="L231" s="175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  <c r="Z231" s="176"/>
      <c r="AA231" s="176"/>
      <c r="AB231" s="176"/>
      <c r="AC231" s="176"/>
      <c r="AD231" s="176"/>
      <c r="AE231" s="176"/>
      <c r="AF231" s="176"/>
      <c r="AG231" s="176"/>
      <c r="AH231" s="176"/>
      <c r="AI231" s="176"/>
      <c r="AJ231" s="176"/>
      <c r="AK231" s="176"/>
      <c r="AL231" s="176"/>
      <c r="AM231" s="176"/>
      <c r="AN231" s="176"/>
      <c r="AO231" s="176"/>
      <c r="AP231" s="176"/>
      <c r="AQ231" s="176"/>
      <c r="AR231" s="176"/>
    </row>
    <row r="232" spans="1:44" x14ac:dyDescent="0.2">
      <c r="B232" s="139"/>
      <c r="C232" s="140" t="s">
        <v>261</v>
      </c>
      <c r="D232" s="141"/>
      <c r="E232" s="140"/>
      <c r="F232" s="140"/>
      <c r="G232" s="142"/>
      <c r="H232" s="142"/>
      <c r="I232" s="139"/>
      <c r="J232" s="139"/>
      <c r="K232" s="139"/>
      <c r="L232" s="143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0"/>
      <c r="X232" s="144"/>
      <c r="Y232" s="144"/>
      <c r="Z232" s="144"/>
      <c r="AA232" s="144"/>
      <c r="AB232" s="144"/>
      <c r="AC232" s="144"/>
      <c r="AD232" s="144"/>
      <c r="AE232" s="144"/>
      <c r="AF232" s="144"/>
      <c r="AG232" s="144"/>
      <c r="AH232" s="144"/>
      <c r="AI232" s="144"/>
      <c r="AJ232" s="144"/>
      <c r="AK232" s="144"/>
      <c r="AL232" s="144"/>
      <c r="AM232" s="144"/>
      <c r="AN232" s="144"/>
      <c r="AO232" s="144"/>
      <c r="AP232" s="144"/>
      <c r="AQ232" s="144"/>
      <c r="AR232" s="144"/>
    </row>
    <row r="233" spans="1:44" x14ac:dyDescent="0.2">
      <c r="A233" s="145"/>
      <c r="B233" s="146"/>
      <c r="C233" s="146" t="s">
        <v>218</v>
      </c>
      <c r="D233" s="147" t="s">
        <v>219</v>
      </c>
      <c r="E233" s="146"/>
      <c r="F233" s="146"/>
      <c r="G233" s="148">
        <v>2019</v>
      </c>
      <c r="H233" s="148">
        <v>2020</v>
      </c>
      <c r="I233" s="148">
        <v>2021</v>
      </c>
      <c r="J233" s="148">
        <v>2022</v>
      </c>
      <c r="K233" s="148">
        <v>2023</v>
      </c>
      <c r="L233" s="149">
        <v>45352</v>
      </c>
      <c r="M233" s="148">
        <v>2024</v>
      </c>
      <c r="N233" s="146">
        <v>2025</v>
      </c>
      <c r="O233" s="146">
        <v>2026</v>
      </c>
      <c r="P233" s="146">
        <v>2027</v>
      </c>
      <c r="Q233" s="146">
        <v>2028</v>
      </c>
      <c r="R233" s="146">
        <v>2029</v>
      </c>
      <c r="S233" s="146">
        <v>2030</v>
      </c>
      <c r="T233" s="146">
        <v>2031</v>
      </c>
      <c r="U233" s="146">
        <v>2032</v>
      </c>
      <c r="V233" s="146">
        <v>2033</v>
      </c>
      <c r="W233" s="146">
        <v>2034</v>
      </c>
      <c r="X233" s="146">
        <v>2035</v>
      </c>
      <c r="Y233" s="146">
        <v>2036</v>
      </c>
      <c r="Z233" s="146">
        <v>2037</v>
      </c>
      <c r="AA233" s="146">
        <v>2038</v>
      </c>
      <c r="AB233" s="146">
        <v>2039</v>
      </c>
      <c r="AC233" s="146">
        <v>2040</v>
      </c>
      <c r="AD233" s="146">
        <v>2041</v>
      </c>
      <c r="AE233" s="146">
        <v>2042</v>
      </c>
      <c r="AF233" s="146">
        <v>2043</v>
      </c>
      <c r="AG233" s="146">
        <v>2044</v>
      </c>
      <c r="AH233" s="146">
        <v>2045</v>
      </c>
      <c r="AI233" s="146">
        <v>2046</v>
      </c>
      <c r="AJ233" s="146">
        <v>2047</v>
      </c>
      <c r="AK233" s="146">
        <v>2048</v>
      </c>
      <c r="AL233" s="146">
        <v>2049</v>
      </c>
      <c r="AM233" s="146">
        <v>2050</v>
      </c>
      <c r="AN233" s="146">
        <v>2051</v>
      </c>
      <c r="AO233" s="146">
        <v>2052</v>
      </c>
      <c r="AP233" s="146">
        <v>2053</v>
      </c>
      <c r="AQ233" s="146">
        <v>2054</v>
      </c>
      <c r="AR233" s="146">
        <v>2055</v>
      </c>
    </row>
    <row r="234" spans="1:44" x14ac:dyDescent="0.2">
      <c r="A234" s="184"/>
      <c r="B234" s="185"/>
      <c r="C234" s="185"/>
      <c r="D234" s="186"/>
      <c r="E234" s="185"/>
      <c r="F234" s="185"/>
      <c r="G234" s="187"/>
      <c r="H234" s="187"/>
      <c r="I234" s="187"/>
      <c r="J234" s="187"/>
      <c r="K234" s="188"/>
      <c r="L234" s="188"/>
      <c r="M234" s="188"/>
      <c r="N234" s="188"/>
      <c r="O234" s="185"/>
      <c r="P234" s="185"/>
      <c r="Q234" s="185"/>
      <c r="R234" s="185"/>
      <c r="S234" s="185"/>
      <c r="T234" s="185"/>
      <c r="U234" s="185"/>
      <c r="V234" s="185"/>
      <c r="W234" s="185"/>
      <c r="X234" s="185"/>
      <c r="Y234" s="185"/>
      <c r="Z234" s="185"/>
      <c r="AA234" s="185"/>
      <c r="AB234" s="185"/>
      <c r="AC234" s="185"/>
      <c r="AD234" s="185"/>
      <c r="AE234" s="185"/>
      <c r="AF234" s="185"/>
      <c r="AG234" s="185"/>
      <c r="AH234" s="185"/>
      <c r="AI234" s="185"/>
      <c r="AJ234" s="185"/>
      <c r="AK234" s="185"/>
      <c r="AL234" s="185"/>
      <c r="AM234" s="185"/>
      <c r="AN234" s="185"/>
      <c r="AO234" s="185"/>
      <c r="AP234" s="185"/>
      <c r="AQ234" s="185"/>
      <c r="AR234" s="185"/>
    </row>
    <row r="235" spans="1:44" x14ac:dyDescent="0.2">
      <c r="B235" s="198"/>
      <c r="C235" s="198"/>
      <c r="D235" s="199"/>
      <c r="E235" s="200"/>
      <c r="F235" s="198"/>
      <c r="G235" s="150"/>
      <c r="H235" s="150"/>
      <c r="I235" s="150"/>
      <c r="J235" s="150"/>
      <c r="K235" s="150"/>
      <c r="L235" s="150"/>
      <c r="M235" s="150"/>
      <c r="N235" s="198"/>
      <c r="O235" s="198"/>
      <c r="P235" s="198"/>
      <c r="Q235" s="198"/>
      <c r="R235" s="198"/>
      <c r="S235" s="198"/>
      <c r="T235" s="198"/>
      <c r="U235" s="198"/>
      <c r="V235" s="198"/>
      <c r="W235" s="198"/>
      <c r="X235" s="198"/>
      <c r="Y235" s="198"/>
      <c r="Z235" s="198"/>
      <c r="AA235" s="198"/>
      <c r="AB235" s="198"/>
      <c r="AC235" s="198"/>
      <c r="AD235" s="198"/>
      <c r="AE235" s="198"/>
      <c r="AF235" s="198"/>
      <c r="AG235" s="198"/>
      <c r="AH235" s="198"/>
      <c r="AI235" s="198"/>
      <c r="AJ235" s="198"/>
      <c r="AK235" s="198"/>
      <c r="AL235" s="198"/>
      <c r="AM235" s="198"/>
      <c r="AN235" s="198"/>
      <c r="AO235" s="198"/>
      <c r="AP235" s="198"/>
      <c r="AQ235" s="198"/>
      <c r="AR235" s="198"/>
    </row>
    <row r="236" spans="1:44" x14ac:dyDescent="0.2">
      <c r="B236" s="154">
        <v>1</v>
      </c>
      <c r="C236" s="137" t="s">
        <v>220</v>
      </c>
      <c r="D236" s="155" t="s">
        <v>221</v>
      </c>
      <c r="G236" s="207">
        <v>0</v>
      </c>
      <c r="H236" s="207">
        <v>0</v>
      </c>
      <c r="I236" s="207">
        <v>0</v>
      </c>
      <c r="J236" s="207">
        <v>0</v>
      </c>
      <c r="K236" s="207">
        <v>6170.46</v>
      </c>
      <c r="L236" s="207">
        <v>1705.94</v>
      </c>
      <c r="M236" s="207">
        <v>6876.7191263736258</v>
      </c>
      <c r="N236" s="207">
        <v>6911.1027220054957</v>
      </c>
      <c r="O236" s="207">
        <v>6945.6582356155204</v>
      </c>
      <c r="P236" s="207">
        <v>6980.3865267936008</v>
      </c>
      <c r="Q236" s="207">
        <v>7015.2884594275693</v>
      </c>
      <c r="R236" s="207">
        <v>7050.3649017247071</v>
      </c>
      <c r="S236" s="207">
        <v>7085.6167262333302</v>
      </c>
      <c r="T236" s="207">
        <v>7334.6761541604301</v>
      </c>
      <c r="U236" s="207">
        <v>7592.4900209791695</v>
      </c>
      <c r="V236" s="207">
        <v>7859.3660452165859</v>
      </c>
      <c r="W236" s="207">
        <v>8135.6227617059485</v>
      </c>
      <c r="X236" s="207">
        <v>8339.8268930247687</v>
      </c>
      <c r="Y236" s="207">
        <v>8549.1565480396894</v>
      </c>
      <c r="Z236" s="207">
        <v>8763.7403773954866</v>
      </c>
      <c r="AA236" s="207">
        <v>8983.7102608681125</v>
      </c>
      <c r="AB236" s="207">
        <v>9028.6288121724538</v>
      </c>
      <c r="AC236" s="207">
        <v>9073.771956233315</v>
      </c>
      <c r="AD236" s="207">
        <v>9119.140816014482</v>
      </c>
      <c r="AE236" s="207">
        <v>9164.7365200945533</v>
      </c>
      <c r="AF236" s="207">
        <v>9210.5602026950273</v>
      </c>
      <c r="AG236" s="207">
        <v>9256.6130037085022</v>
      </c>
      <c r="AH236" s="207">
        <v>9302.8960687270446</v>
      </c>
      <c r="AI236" s="207">
        <v>9349.4105490706825</v>
      </c>
      <c r="AJ236" s="207">
        <v>9396.1576018160322</v>
      </c>
      <c r="AK236" s="207">
        <v>9443.1383898251133</v>
      </c>
      <c r="AL236" s="207">
        <v>9490.3540817742396</v>
      </c>
      <c r="AM236" s="207">
        <v>9537.8058521831099</v>
      </c>
      <c r="AN236" s="207">
        <v>9585.4948814440249</v>
      </c>
      <c r="AO236" s="207">
        <v>9633.4223558512458</v>
      </c>
      <c r="AP236" s="207">
        <v>9681.5894676305015</v>
      </c>
      <c r="AQ236" s="207">
        <v>9729.9974149686532</v>
      </c>
      <c r="AR236" s="207">
        <v>9778.6474020434998</v>
      </c>
    </row>
    <row r="237" spans="1:44" x14ac:dyDescent="0.2">
      <c r="B237" s="154">
        <v>2</v>
      </c>
      <c r="C237" s="137" t="s">
        <v>222</v>
      </c>
      <c r="D237" s="155" t="s">
        <v>223</v>
      </c>
      <c r="G237" s="156">
        <v>0</v>
      </c>
      <c r="H237" s="156">
        <v>0</v>
      </c>
      <c r="I237" s="156">
        <v>0</v>
      </c>
      <c r="J237" s="156">
        <v>0</v>
      </c>
      <c r="K237" s="156">
        <v>0</v>
      </c>
      <c r="L237" s="156">
        <v>0</v>
      </c>
      <c r="M237" s="156">
        <v>0</v>
      </c>
      <c r="N237" s="156">
        <v>0</v>
      </c>
      <c r="O237" s="156">
        <v>0</v>
      </c>
      <c r="P237" s="156">
        <v>0</v>
      </c>
      <c r="Q237" s="156">
        <v>0</v>
      </c>
      <c r="R237" s="156">
        <v>0</v>
      </c>
      <c r="S237" s="156">
        <v>0</v>
      </c>
      <c r="T237" s="156">
        <v>0</v>
      </c>
      <c r="U237" s="156">
        <v>0</v>
      </c>
      <c r="V237" s="156">
        <v>0</v>
      </c>
      <c r="W237" s="156">
        <v>0</v>
      </c>
      <c r="X237" s="156">
        <v>0</v>
      </c>
      <c r="Y237" s="156">
        <v>0</v>
      </c>
      <c r="Z237" s="156">
        <v>0</v>
      </c>
      <c r="AA237" s="156">
        <v>0</v>
      </c>
      <c r="AB237" s="156">
        <v>0</v>
      </c>
      <c r="AC237" s="156">
        <v>0</v>
      </c>
      <c r="AD237" s="156">
        <v>0</v>
      </c>
      <c r="AE237" s="156">
        <v>0</v>
      </c>
      <c r="AF237" s="156">
        <v>0</v>
      </c>
      <c r="AG237" s="156">
        <v>0</v>
      </c>
      <c r="AH237" s="156">
        <v>0</v>
      </c>
      <c r="AI237" s="156">
        <v>0</v>
      </c>
      <c r="AJ237" s="156">
        <v>0</v>
      </c>
      <c r="AK237" s="156">
        <v>0</v>
      </c>
      <c r="AL237" s="156">
        <v>0</v>
      </c>
      <c r="AM237" s="156">
        <v>0</v>
      </c>
      <c r="AN237" s="156">
        <v>0</v>
      </c>
      <c r="AO237" s="156">
        <v>0</v>
      </c>
      <c r="AP237" s="156">
        <v>0</v>
      </c>
      <c r="AQ237" s="156">
        <v>0</v>
      </c>
      <c r="AR237" s="156">
        <v>0</v>
      </c>
    </row>
    <row r="238" spans="1:44" x14ac:dyDescent="0.2">
      <c r="B238" s="154">
        <v>3</v>
      </c>
      <c r="C238" s="137" t="s">
        <v>224</v>
      </c>
      <c r="D238" s="155" t="s">
        <v>225</v>
      </c>
      <c r="G238" s="156">
        <v>0</v>
      </c>
      <c r="H238" s="156">
        <v>0</v>
      </c>
      <c r="I238" s="156">
        <v>0</v>
      </c>
      <c r="J238" s="156">
        <v>0</v>
      </c>
      <c r="K238" s="156">
        <v>0</v>
      </c>
      <c r="L238" s="156">
        <v>0</v>
      </c>
      <c r="M238" s="156">
        <v>0</v>
      </c>
      <c r="N238" s="156">
        <v>0</v>
      </c>
      <c r="O238" s="156">
        <v>0</v>
      </c>
      <c r="P238" s="156">
        <v>0</v>
      </c>
      <c r="Q238" s="156">
        <v>0</v>
      </c>
      <c r="R238" s="156">
        <v>0</v>
      </c>
      <c r="S238" s="156">
        <v>0</v>
      </c>
      <c r="T238" s="156">
        <v>0</v>
      </c>
      <c r="U238" s="156">
        <v>0</v>
      </c>
      <c r="V238" s="156">
        <v>0</v>
      </c>
      <c r="W238" s="156">
        <v>0</v>
      </c>
      <c r="X238" s="156">
        <v>0</v>
      </c>
      <c r="Y238" s="156">
        <v>0</v>
      </c>
      <c r="Z238" s="156">
        <v>0</v>
      </c>
      <c r="AA238" s="156">
        <v>0</v>
      </c>
      <c r="AB238" s="156">
        <v>0</v>
      </c>
      <c r="AC238" s="156">
        <v>0</v>
      </c>
      <c r="AD238" s="156">
        <v>0</v>
      </c>
      <c r="AE238" s="156">
        <v>0</v>
      </c>
      <c r="AF238" s="156">
        <v>0</v>
      </c>
      <c r="AG238" s="156">
        <v>0</v>
      </c>
      <c r="AH238" s="156">
        <v>0</v>
      </c>
      <c r="AI238" s="156">
        <v>0</v>
      </c>
      <c r="AJ238" s="156">
        <v>0</v>
      </c>
      <c r="AK238" s="156">
        <v>0</v>
      </c>
      <c r="AL238" s="156">
        <v>0</v>
      </c>
      <c r="AM238" s="156">
        <v>0</v>
      </c>
      <c r="AN238" s="156">
        <v>0</v>
      </c>
      <c r="AO238" s="156">
        <v>0</v>
      </c>
      <c r="AP238" s="156">
        <v>0</v>
      </c>
      <c r="AQ238" s="156">
        <v>0</v>
      </c>
      <c r="AR238" s="156">
        <v>0</v>
      </c>
    </row>
    <row r="239" spans="1:44" x14ac:dyDescent="0.2">
      <c r="B239" s="154">
        <v>4</v>
      </c>
      <c r="C239" s="137" t="s">
        <v>226</v>
      </c>
      <c r="D239" s="155" t="s">
        <v>227</v>
      </c>
      <c r="G239" s="156">
        <v>0</v>
      </c>
      <c r="H239" s="156">
        <v>0</v>
      </c>
      <c r="I239" s="156">
        <v>0</v>
      </c>
      <c r="J239" s="156">
        <v>0</v>
      </c>
      <c r="K239" s="156">
        <v>10385.328766795195</v>
      </c>
      <c r="L239" s="156">
        <v>2589.2189528174322</v>
      </c>
      <c r="M239" s="156">
        <v>10385.328766795195</v>
      </c>
      <c r="N239" s="156">
        <v>10466.927778534302</v>
      </c>
      <c r="O239" s="156">
        <v>10549.3427803908</v>
      </c>
      <c r="P239" s="156">
        <v>10632.581932265861</v>
      </c>
      <c r="Q239" s="156">
        <v>10716.653475659672</v>
      </c>
      <c r="R239" s="156">
        <v>10801.56573448742</v>
      </c>
      <c r="S239" s="156">
        <v>10887.327115903448</v>
      </c>
      <c r="T239" s="156">
        <v>10973.946111133635</v>
      </c>
      <c r="U239" s="156">
        <v>11061.431296316126</v>
      </c>
      <c r="V239" s="156">
        <v>11149.79133335044</v>
      </c>
      <c r="W239" s="156">
        <v>11239.034970755098</v>
      </c>
      <c r="X239" s="156">
        <v>11329.171044533803</v>
      </c>
      <c r="Y239" s="156">
        <v>11420.208479050294</v>
      </c>
      <c r="Z239" s="156">
        <v>11512.15628791195</v>
      </c>
      <c r="AA239" s="156">
        <v>11605.023574862222</v>
      </c>
      <c r="AB239" s="156">
        <v>11698.819534681996</v>
      </c>
      <c r="AC239" s="156">
        <v>11793.553454099969</v>
      </c>
      <c r="AD239" s="156">
        <v>11889.234712712123</v>
      </c>
      <c r="AE239" s="156">
        <v>11985.872783910398</v>
      </c>
      <c r="AF239" s="156">
        <v>12083.477235820652</v>
      </c>
      <c r="AG239" s="156">
        <v>12182.057732250012</v>
      </c>
      <c r="AH239" s="156">
        <v>12281.624033643664</v>
      </c>
      <c r="AI239" s="156">
        <v>12382.185998051256</v>
      </c>
      <c r="AJ239" s="156">
        <v>12483.75358210292</v>
      </c>
      <c r="AK239" s="156">
        <v>12586.336841995102</v>
      </c>
      <c r="AL239" s="156">
        <v>12689.945934486208</v>
      </c>
      <c r="AM239" s="156">
        <v>12794.591117902224</v>
      </c>
      <c r="AN239" s="156">
        <v>12900.282753152398</v>
      </c>
      <c r="AO239" s="156">
        <v>13007.031304755075</v>
      </c>
      <c r="AP239" s="156">
        <v>13114.847341873781</v>
      </c>
      <c r="AQ239" s="156">
        <v>13223.741539363673</v>
      </c>
      <c r="AR239" s="156">
        <v>13333.724678828459</v>
      </c>
    </row>
    <row r="240" spans="1:44" x14ac:dyDescent="0.2">
      <c r="B240" s="154">
        <v>5</v>
      </c>
      <c r="C240" s="137" t="s">
        <v>228</v>
      </c>
      <c r="D240" s="155" t="s">
        <v>221</v>
      </c>
      <c r="G240" s="156">
        <v>0</v>
      </c>
      <c r="H240" s="156">
        <v>0</v>
      </c>
      <c r="I240" s="156">
        <v>0</v>
      </c>
      <c r="J240" s="156">
        <v>0</v>
      </c>
      <c r="K240" s="156">
        <v>11745.722492818781</v>
      </c>
      <c r="L240" s="156">
        <v>2928.3856077986557</v>
      </c>
      <c r="M240" s="156">
        <v>11745.722492818781</v>
      </c>
      <c r="N240" s="156">
        <v>11745.722492818781</v>
      </c>
      <c r="O240" s="156">
        <v>11745.722492818781</v>
      </c>
      <c r="P240" s="156">
        <v>11745.722492818781</v>
      </c>
      <c r="Q240" s="156">
        <v>11745.722492818781</v>
      </c>
      <c r="R240" s="156">
        <v>11745.722492818781</v>
      </c>
      <c r="S240" s="156">
        <v>11863.179717746971</v>
      </c>
      <c r="T240" s="156">
        <v>11863.179717746971</v>
      </c>
      <c r="U240" s="156">
        <v>11863.179717746971</v>
      </c>
      <c r="V240" s="156">
        <v>11863.179717746971</v>
      </c>
      <c r="W240" s="156">
        <v>11863.179717746971</v>
      </c>
      <c r="X240" s="156">
        <v>11863.179717746971</v>
      </c>
      <c r="Y240" s="156">
        <v>11863.179717746971</v>
      </c>
      <c r="Z240" s="156">
        <v>11863.179717746971</v>
      </c>
      <c r="AA240" s="156">
        <v>11863.179717746971</v>
      </c>
      <c r="AB240" s="156">
        <v>11863.179717746971</v>
      </c>
      <c r="AC240" s="156">
        <v>11863.179717746971</v>
      </c>
      <c r="AD240" s="156">
        <v>11863.179717746971</v>
      </c>
      <c r="AE240" s="156">
        <v>11863.179717746971</v>
      </c>
      <c r="AF240" s="156">
        <v>11863.179717746971</v>
      </c>
      <c r="AG240" s="156">
        <v>11863.179717746971</v>
      </c>
      <c r="AH240" s="156">
        <v>11863.179717746971</v>
      </c>
      <c r="AI240" s="156">
        <v>11863.179717746971</v>
      </c>
      <c r="AJ240" s="156">
        <v>11863.179717746971</v>
      </c>
      <c r="AK240" s="156">
        <v>11863.179717746971</v>
      </c>
      <c r="AL240" s="156">
        <v>11863.179717746971</v>
      </c>
      <c r="AM240" s="156">
        <v>11863.179717746971</v>
      </c>
      <c r="AN240" s="156">
        <v>11863.179717746971</v>
      </c>
      <c r="AO240" s="156">
        <v>11863.179717746971</v>
      </c>
      <c r="AP240" s="156">
        <v>11863.179717746971</v>
      </c>
      <c r="AQ240" s="156">
        <v>11863.179717746971</v>
      </c>
      <c r="AR240" s="156">
        <v>11863.179717746971</v>
      </c>
    </row>
    <row r="241" spans="1:44" x14ac:dyDescent="0.2">
      <c r="B241" s="154">
        <v>6</v>
      </c>
      <c r="C241" s="137" t="s">
        <v>229</v>
      </c>
      <c r="D241" s="155" t="s">
        <v>230</v>
      </c>
      <c r="G241" s="156">
        <v>0</v>
      </c>
      <c r="H241" s="156">
        <v>0</v>
      </c>
      <c r="I241" s="156">
        <v>0</v>
      </c>
      <c r="J241" s="156">
        <v>0</v>
      </c>
      <c r="K241" s="156">
        <v>0</v>
      </c>
      <c r="L241" s="156">
        <v>0</v>
      </c>
      <c r="M241" s="156">
        <v>0</v>
      </c>
      <c r="N241" s="156">
        <v>0</v>
      </c>
      <c r="O241" s="156">
        <v>0</v>
      </c>
      <c r="P241" s="156">
        <v>0</v>
      </c>
      <c r="Q241" s="156">
        <v>0</v>
      </c>
      <c r="R241" s="156">
        <v>0</v>
      </c>
      <c r="S241" s="156">
        <v>0</v>
      </c>
      <c r="T241" s="156">
        <v>0</v>
      </c>
      <c r="U241" s="156">
        <v>0</v>
      </c>
      <c r="V241" s="156">
        <v>0</v>
      </c>
      <c r="W241" s="156">
        <v>0</v>
      </c>
      <c r="X241" s="156">
        <v>0</v>
      </c>
      <c r="Y241" s="156">
        <v>0</v>
      </c>
      <c r="Z241" s="156">
        <v>0</v>
      </c>
      <c r="AA241" s="156">
        <v>0</v>
      </c>
      <c r="AB241" s="156">
        <v>0</v>
      </c>
      <c r="AC241" s="156">
        <v>0</v>
      </c>
      <c r="AD241" s="156">
        <v>0</v>
      </c>
      <c r="AE241" s="156">
        <v>0</v>
      </c>
      <c r="AF241" s="156">
        <v>0</v>
      </c>
      <c r="AG241" s="156">
        <v>0</v>
      </c>
      <c r="AH241" s="156">
        <v>0</v>
      </c>
      <c r="AI241" s="156">
        <v>0</v>
      </c>
      <c r="AJ241" s="156">
        <v>0</v>
      </c>
      <c r="AK241" s="156">
        <v>0</v>
      </c>
      <c r="AL241" s="156">
        <v>0</v>
      </c>
      <c r="AM241" s="156">
        <v>0</v>
      </c>
      <c r="AN241" s="156">
        <v>0</v>
      </c>
      <c r="AO241" s="156">
        <v>0</v>
      </c>
      <c r="AP241" s="156">
        <v>0</v>
      </c>
      <c r="AQ241" s="156">
        <v>0</v>
      </c>
      <c r="AR241" s="156">
        <v>0</v>
      </c>
    </row>
    <row r="242" spans="1:44" x14ac:dyDescent="0.2">
      <c r="B242" s="154">
        <v>7</v>
      </c>
      <c r="C242" s="137" t="s">
        <v>231</v>
      </c>
      <c r="D242" s="155" t="s">
        <v>225</v>
      </c>
      <c r="G242" s="156">
        <v>0</v>
      </c>
      <c r="H242" s="156">
        <v>0</v>
      </c>
      <c r="I242" s="156">
        <v>0</v>
      </c>
      <c r="J242" s="156">
        <v>0</v>
      </c>
      <c r="K242" s="156">
        <v>8090.52</v>
      </c>
      <c r="L242" s="156">
        <v>3311.34</v>
      </c>
      <c r="M242" s="156">
        <v>9988.7528925619863</v>
      </c>
      <c r="N242" s="156">
        <v>10088.640421487606</v>
      </c>
      <c r="O242" s="156">
        <v>10189.52682570248</v>
      </c>
      <c r="P242" s="156">
        <v>10291.422093959507</v>
      </c>
      <c r="Q242" s="156">
        <v>10394.336314899101</v>
      </c>
      <c r="R242" s="156">
        <v>10498.279678048091</v>
      </c>
      <c r="S242" s="156">
        <v>10603.262474828573</v>
      </c>
      <c r="T242" s="156">
        <v>10709.295099576859</v>
      </c>
      <c r="U242" s="156">
        <v>10816.388050572627</v>
      </c>
      <c r="V242" s="156">
        <v>10924.551931078355</v>
      </c>
      <c r="W242" s="156">
        <v>11033.797450389136</v>
      </c>
      <c r="X242" s="156">
        <v>11144.135424893027</v>
      </c>
      <c r="Y242" s="156">
        <v>11255.576779141958</v>
      </c>
      <c r="Z242" s="156">
        <v>11368.132546933379</v>
      </c>
      <c r="AA242" s="156">
        <v>11481.813872402712</v>
      </c>
      <c r="AB242" s="156">
        <v>11596.63201112674</v>
      </c>
      <c r="AC242" s="156">
        <v>11712.598331238007</v>
      </c>
      <c r="AD242" s="156">
        <v>11829.724314550385</v>
      </c>
      <c r="AE242" s="156">
        <v>11948.021557695889</v>
      </c>
      <c r="AF242" s="156">
        <v>12067.501773272848</v>
      </c>
      <c r="AG242" s="156">
        <v>12188.176791005575</v>
      </c>
      <c r="AH242" s="156">
        <v>12310.058558915633</v>
      </c>
      <c r="AI242" s="156">
        <v>12433.159144504791</v>
      </c>
      <c r="AJ242" s="156">
        <v>12557.490735949836</v>
      </c>
      <c r="AK242" s="156">
        <v>12683.065643309337</v>
      </c>
      <c r="AL242" s="156">
        <v>12809.89629974243</v>
      </c>
      <c r="AM242" s="156">
        <v>12937.995262739854</v>
      </c>
      <c r="AN242" s="156">
        <v>13067.375215367252</v>
      </c>
      <c r="AO242" s="156">
        <v>13198.048967520923</v>
      </c>
      <c r="AP242" s="156">
        <v>13330.029457196135</v>
      </c>
      <c r="AQ242" s="156">
        <v>13463.329751768097</v>
      </c>
      <c r="AR242" s="156">
        <v>13597.963049285778</v>
      </c>
    </row>
    <row r="243" spans="1:44" x14ac:dyDescent="0.2">
      <c r="B243" s="154">
        <v>8</v>
      </c>
      <c r="C243" s="137" t="s">
        <v>232</v>
      </c>
      <c r="D243" s="155" t="s">
        <v>233</v>
      </c>
      <c r="G243" s="156">
        <v>0</v>
      </c>
      <c r="H243" s="156">
        <v>0</v>
      </c>
      <c r="I243" s="156">
        <v>0</v>
      </c>
      <c r="J243" s="156">
        <v>0</v>
      </c>
      <c r="K243" s="156">
        <v>47681</v>
      </c>
      <c r="L243" s="156">
        <v>17068</v>
      </c>
      <c r="M243" s="156">
        <v>68459.560439560446</v>
      </c>
      <c r="N243" s="156">
        <v>861097.04999999993</v>
      </c>
      <c r="O243" s="156">
        <v>861528.37050000008</v>
      </c>
      <c r="P243" s="156">
        <v>861964.00420499989</v>
      </c>
      <c r="Q243" s="156">
        <v>862403.99424704991</v>
      </c>
      <c r="R243" s="156">
        <v>862848.3841895205</v>
      </c>
      <c r="S243" s="156">
        <v>863297.2180314156</v>
      </c>
      <c r="T243" s="156">
        <v>863750.54021173005</v>
      </c>
      <c r="U243" s="156">
        <v>864208.39561384718</v>
      </c>
      <c r="V243" s="156">
        <v>864670.82956998574</v>
      </c>
      <c r="W243" s="156">
        <v>865137.88786568563</v>
      </c>
      <c r="X243" s="156">
        <v>865609.61674434226</v>
      </c>
      <c r="Y243" s="156">
        <v>866086.06291178591</v>
      </c>
      <c r="Z243" s="156">
        <v>866567.27354090358</v>
      </c>
      <c r="AA243" s="156">
        <v>867053.29627631279</v>
      </c>
      <c r="AB243" s="156">
        <v>867544.17923907563</v>
      </c>
      <c r="AC243" s="156">
        <v>868039.97103146662</v>
      </c>
      <c r="AD243" s="156">
        <v>868540.72074178129</v>
      </c>
      <c r="AE243" s="156">
        <v>869046.47794919903</v>
      </c>
      <c r="AF243" s="156">
        <v>869557.2927286909</v>
      </c>
      <c r="AG243" s="156">
        <v>870073.21565597784</v>
      </c>
      <c r="AH243" s="156">
        <v>870594.29781253776</v>
      </c>
      <c r="AI243" s="156">
        <v>871120.59079066291</v>
      </c>
      <c r="AJ243" s="156">
        <v>871652.14669856976</v>
      </c>
      <c r="AK243" s="156">
        <v>872189.01816555532</v>
      </c>
      <c r="AL243" s="156">
        <v>872731.25834721106</v>
      </c>
      <c r="AM243" s="156">
        <v>873278.92093068291</v>
      </c>
      <c r="AN243" s="156">
        <v>873832.06013998995</v>
      </c>
      <c r="AO243" s="156">
        <v>874390.73074138991</v>
      </c>
      <c r="AP243" s="156">
        <v>874954.98804880376</v>
      </c>
      <c r="AQ243" s="156">
        <v>875524.8879292917</v>
      </c>
      <c r="AR243" s="156">
        <v>876100.48680858465</v>
      </c>
    </row>
    <row r="244" spans="1:44" x14ac:dyDescent="0.2">
      <c r="B244" s="157"/>
      <c r="C244" s="158" t="s">
        <v>84</v>
      </c>
      <c r="D244" s="159"/>
      <c r="E244" s="193"/>
      <c r="F244" s="158"/>
      <c r="G244" s="170">
        <v>0</v>
      </c>
      <c r="H244" s="170">
        <v>0</v>
      </c>
      <c r="I244" s="170">
        <v>0</v>
      </c>
      <c r="J244" s="170">
        <v>0</v>
      </c>
      <c r="K244" s="170">
        <v>84073.03125961397</v>
      </c>
      <c r="L244" s="170">
        <v>27602.884560616087</v>
      </c>
      <c r="M244" s="170">
        <v>107456.08371811002</v>
      </c>
      <c r="N244" s="160">
        <v>900309.44341484609</v>
      </c>
      <c r="O244" s="160">
        <v>900958.62083452765</v>
      </c>
      <c r="P244" s="160">
        <v>901614.11725083762</v>
      </c>
      <c r="Q244" s="160">
        <v>902275.99498985498</v>
      </c>
      <c r="R244" s="160">
        <v>902944.31699659955</v>
      </c>
      <c r="S244" s="160">
        <v>903736.60406612791</v>
      </c>
      <c r="T244" s="160">
        <v>904631.63729434798</v>
      </c>
      <c r="U244" s="160">
        <v>905541.8846994621</v>
      </c>
      <c r="V244" s="160">
        <v>906467.71859737812</v>
      </c>
      <c r="W244" s="160">
        <v>907409.52276628278</v>
      </c>
      <c r="X244" s="160">
        <v>908285.92982454086</v>
      </c>
      <c r="Y244" s="160">
        <v>909174.18443576479</v>
      </c>
      <c r="Z244" s="160">
        <v>910074.48247089132</v>
      </c>
      <c r="AA244" s="160">
        <v>910987.02370219282</v>
      </c>
      <c r="AB244" s="160">
        <v>911731.43931480381</v>
      </c>
      <c r="AC244" s="160">
        <v>912483.0744907849</v>
      </c>
      <c r="AD244" s="160">
        <v>913242.00030280522</v>
      </c>
      <c r="AE244" s="160">
        <v>914008.28852864681</v>
      </c>
      <c r="AF244" s="160">
        <v>914782.01165822637</v>
      </c>
      <c r="AG244" s="160">
        <v>915563.2429006889</v>
      </c>
      <c r="AH244" s="160">
        <v>916352.05619157106</v>
      </c>
      <c r="AI244" s="160">
        <v>917148.52620003663</v>
      </c>
      <c r="AJ244" s="160">
        <v>917952.72833618557</v>
      </c>
      <c r="AK244" s="160">
        <v>918764.73875843186</v>
      </c>
      <c r="AL244" s="160">
        <v>919584.63438096095</v>
      </c>
      <c r="AM244" s="160">
        <v>920412.49288125511</v>
      </c>
      <c r="AN244" s="160">
        <v>921248.39270770061</v>
      </c>
      <c r="AO244" s="160">
        <v>922092.41308726417</v>
      </c>
      <c r="AP244" s="160">
        <v>922944.63403325109</v>
      </c>
      <c r="AQ244" s="160">
        <v>923805.13635313907</v>
      </c>
      <c r="AR244" s="160">
        <v>924674.00165648933</v>
      </c>
    </row>
    <row r="245" spans="1:44" x14ac:dyDescent="0.2">
      <c r="B245" s="154"/>
      <c r="D245" s="155"/>
      <c r="G245" s="154"/>
      <c r="H245" s="154"/>
      <c r="I245" s="154"/>
      <c r="J245" s="154"/>
      <c r="K245" s="154"/>
      <c r="L245" s="206"/>
      <c r="W245" s="172"/>
    </row>
    <row r="246" spans="1:44" x14ac:dyDescent="0.2">
      <c r="B246" s="139"/>
      <c r="C246" s="140" t="s">
        <v>262</v>
      </c>
      <c r="D246" s="141"/>
      <c r="E246" s="140"/>
      <c r="F246" s="140"/>
      <c r="G246" s="142"/>
      <c r="H246" s="142"/>
      <c r="I246" s="139"/>
      <c r="J246" s="139"/>
      <c r="K246" s="139"/>
      <c r="L246" s="143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0"/>
      <c r="X246" s="144"/>
      <c r="Y246" s="144"/>
      <c r="Z246" s="144"/>
      <c r="AA246" s="144"/>
      <c r="AB246" s="144"/>
      <c r="AC246" s="144"/>
      <c r="AD246" s="144"/>
      <c r="AE246" s="144"/>
      <c r="AF246" s="144"/>
      <c r="AG246" s="144"/>
      <c r="AH246" s="144"/>
      <c r="AI246" s="144"/>
      <c r="AJ246" s="144"/>
      <c r="AK246" s="144"/>
      <c r="AL246" s="144"/>
      <c r="AM246" s="144"/>
      <c r="AN246" s="144"/>
      <c r="AO246" s="144"/>
      <c r="AP246" s="144"/>
      <c r="AQ246" s="144"/>
      <c r="AR246" s="144"/>
    </row>
    <row r="247" spans="1:44" x14ac:dyDescent="0.2">
      <c r="A247" s="145"/>
      <c r="B247" s="146"/>
      <c r="C247" s="146" t="s">
        <v>218</v>
      </c>
      <c r="D247" s="147" t="s">
        <v>219</v>
      </c>
      <c r="E247" s="146"/>
      <c r="F247" s="146"/>
      <c r="G247" s="148">
        <v>2019</v>
      </c>
      <c r="H247" s="148">
        <v>2020</v>
      </c>
      <c r="I247" s="148">
        <v>2021</v>
      </c>
      <c r="J247" s="148">
        <v>2022</v>
      </c>
      <c r="K247" s="148">
        <v>2023</v>
      </c>
      <c r="L247" s="149">
        <v>45352</v>
      </c>
      <c r="M247" s="148">
        <v>2024</v>
      </c>
      <c r="N247" s="146">
        <v>2025</v>
      </c>
      <c r="O247" s="146">
        <v>2026</v>
      </c>
      <c r="P247" s="146">
        <v>2027</v>
      </c>
      <c r="Q247" s="146">
        <v>2028</v>
      </c>
      <c r="R247" s="146">
        <v>2029</v>
      </c>
      <c r="S247" s="146">
        <v>2030</v>
      </c>
      <c r="T247" s="146">
        <v>2031</v>
      </c>
      <c r="U247" s="146">
        <v>2032</v>
      </c>
      <c r="V247" s="146">
        <v>2033</v>
      </c>
      <c r="W247" s="146">
        <v>2034</v>
      </c>
      <c r="X247" s="146">
        <v>2035</v>
      </c>
      <c r="Y247" s="146">
        <v>2036</v>
      </c>
      <c r="Z247" s="146">
        <v>2037</v>
      </c>
      <c r="AA247" s="146">
        <v>2038</v>
      </c>
      <c r="AB247" s="146">
        <v>2039</v>
      </c>
      <c r="AC247" s="146">
        <v>2040</v>
      </c>
      <c r="AD247" s="146">
        <v>2041</v>
      </c>
      <c r="AE247" s="146">
        <v>2042</v>
      </c>
      <c r="AF247" s="146">
        <v>2043</v>
      </c>
      <c r="AG247" s="146">
        <v>2044</v>
      </c>
      <c r="AH247" s="146">
        <v>2045</v>
      </c>
      <c r="AI247" s="146">
        <v>2046</v>
      </c>
      <c r="AJ247" s="146">
        <v>2047</v>
      </c>
      <c r="AK247" s="146">
        <v>2048</v>
      </c>
      <c r="AL247" s="146">
        <v>2049</v>
      </c>
      <c r="AM247" s="146">
        <v>2050</v>
      </c>
      <c r="AN247" s="146">
        <v>2051</v>
      </c>
      <c r="AO247" s="146">
        <v>2052</v>
      </c>
      <c r="AP247" s="146">
        <v>2053</v>
      </c>
      <c r="AQ247" s="146">
        <v>2054</v>
      </c>
      <c r="AR247" s="146">
        <v>2055</v>
      </c>
    </row>
    <row r="248" spans="1:44" x14ac:dyDescent="0.2">
      <c r="A248" s="184"/>
      <c r="B248" s="185"/>
      <c r="C248" s="185"/>
      <c r="D248" s="186"/>
      <c r="E248" s="185"/>
      <c r="F248" s="185"/>
      <c r="G248" s="187"/>
      <c r="H248" s="187"/>
      <c r="I248" s="187"/>
      <c r="J248" s="187"/>
      <c r="K248" s="188"/>
      <c r="L248" s="188"/>
      <c r="M248" s="188"/>
      <c r="N248" s="188"/>
      <c r="O248" s="185"/>
      <c r="P248" s="185"/>
      <c r="Q248" s="185"/>
      <c r="R248" s="185"/>
      <c r="S248" s="185"/>
      <c r="T248" s="185"/>
      <c r="U248" s="185"/>
      <c r="V248" s="185"/>
      <c r="W248" s="185"/>
      <c r="X248" s="185"/>
      <c r="Y248" s="185"/>
      <c r="Z248" s="185"/>
      <c r="AA248" s="185"/>
      <c r="AB248" s="185"/>
      <c r="AC248" s="185"/>
      <c r="AD248" s="185"/>
      <c r="AE248" s="185"/>
      <c r="AF248" s="185"/>
      <c r="AG248" s="185"/>
      <c r="AH248" s="185"/>
      <c r="AI248" s="185"/>
      <c r="AJ248" s="185"/>
      <c r="AK248" s="185"/>
      <c r="AL248" s="185"/>
      <c r="AM248" s="185"/>
      <c r="AN248" s="185"/>
      <c r="AO248" s="185"/>
      <c r="AP248" s="185"/>
      <c r="AQ248" s="185"/>
      <c r="AR248" s="185"/>
    </row>
    <row r="249" spans="1:44" x14ac:dyDescent="0.2">
      <c r="B249" s="150"/>
      <c r="C249" s="150"/>
      <c r="D249" s="228"/>
      <c r="E249" s="150"/>
      <c r="F249" s="198"/>
      <c r="G249" s="150"/>
      <c r="H249" s="150"/>
      <c r="I249" s="150"/>
      <c r="J249" s="150"/>
      <c r="K249" s="150"/>
      <c r="L249" s="150"/>
      <c r="M249" s="150"/>
      <c r="N249" s="150"/>
      <c r="O249" s="150"/>
      <c r="P249" s="150"/>
      <c r="Q249" s="150"/>
      <c r="R249" s="150"/>
      <c r="S249" s="150"/>
      <c r="T249" s="150"/>
      <c r="U249" s="150"/>
      <c r="V249" s="150"/>
      <c r="W249" s="150"/>
      <c r="X249" s="150"/>
      <c r="Y249" s="150"/>
      <c r="Z249" s="150"/>
      <c r="AA249" s="150"/>
      <c r="AB249" s="150"/>
      <c r="AC249" s="150"/>
      <c r="AD249" s="150"/>
      <c r="AE249" s="150"/>
      <c r="AF249" s="150"/>
      <c r="AG249" s="150"/>
      <c r="AH249" s="150"/>
      <c r="AI249" s="150"/>
      <c r="AJ249" s="150"/>
      <c r="AK249" s="150"/>
      <c r="AL249" s="150"/>
      <c r="AM249" s="150"/>
      <c r="AN249" s="150"/>
      <c r="AO249" s="150"/>
      <c r="AP249" s="150"/>
      <c r="AQ249" s="150"/>
      <c r="AR249" s="150"/>
    </row>
    <row r="250" spans="1:44" x14ac:dyDescent="0.2">
      <c r="B250" s="154">
        <v>1</v>
      </c>
      <c r="C250" s="137" t="s">
        <v>220</v>
      </c>
      <c r="D250" s="155" t="s">
        <v>221</v>
      </c>
      <c r="G250" s="207">
        <v>0</v>
      </c>
      <c r="H250" s="207">
        <v>0</v>
      </c>
      <c r="I250" s="207">
        <v>0</v>
      </c>
      <c r="J250" s="207">
        <v>0</v>
      </c>
      <c r="K250" s="207">
        <v>308523</v>
      </c>
      <c r="L250" s="207">
        <v>85297</v>
      </c>
      <c r="M250" s="207">
        <v>347101.8847157142</v>
      </c>
      <c r="N250" s="208">
        <v>464555.08488550386</v>
      </c>
      <c r="O250" s="208">
        <v>473887.60208003625</v>
      </c>
      <c r="P250" s="208">
        <v>483414.32057259115</v>
      </c>
      <c r="Q250" s="208">
        <v>493139.31671537197</v>
      </c>
      <c r="R250" s="208">
        <v>503066.75260262535</v>
      </c>
      <c r="S250" s="208">
        <v>513519.72273551527</v>
      </c>
      <c r="T250" s="208">
        <v>537212.60650036077</v>
      </c>
      <c r="U250" s="208">
        <v>562013.33341286797</v>
      </c>
      <c r="V250" s="208">
        <v>587974.69681864721</v>
      </c>
      <c r="W250" s="208">
        <v>615152.07285019651</v>
      </c>
      <c r="X250" s="208">
        <v>637212.28593650588</v>
      </c>
      <c r="Y250" s="208">
        <v>659210.7268129182</v>
      </c>
      <c r="Z250" s="208">
        <v>681983.25271581579</v>
      </c>
      <c r="AA250" s="208">
        <v>694159.22527787578</v>
      </c>
      <c r="AB250" s="208">
        <v>704833.18743137375</v>
      </c>
      <c r="AC250" s="208">
        <v>714695.2628209535</v>
      </c>
      <c r="AD250" s="208">
        <v>723281.99301710655</v>
      </c>
      <c r="AE250" s="208">
        <v>731972.52102623321</v>
      </c>
      <c r="AF250" s="208">
        <v>740768.10568351916</v>
      </c>
      <c r="AG250" s="208">
        <v>749670.0211208883</v>
      </c>
      <c r="AH250" s="208">
        <v>758679.55695312563</v>
      </c>
      <c r="AI250" s="208">
        <v>767798.01846626471</v>
      </c>
      <c r="AJ250" s="208">
        <v>777026.72680826904</v>
      </c>
      <c r="AK250" s="208">
        <v>786367.0191820371</v>
      </c>
      <c r="AL250" s="208">
        <v>795820.24904075696</v>
      </c>
      <c r="AM250" s="208">
        <v>805387.7862856416</v>
      </c>
      <c r="AN250" s="208">
        <v>815071.01746607129</v>
      </c>
      <c r="AO250" s="208">
        <v>824871.34598217416</v>
      </c>
      <c r="AP250" s="208">
        <v>834790.19228987256</v>
      </c>
      <c r="AQ250" s="208">
        <v>844828.99410843046</v>
      </c>
      <c r="AR250" s="208">
        <v>854989.20663052541</v>
      </c>
    </row>
    <row r="251" spans="1:44" x14ac:dyDescent="0.2">
      <c r="B251" s="154">
        <v>2</v>
      </c>
      <c r="C251" s="137" t="s">
        <v>222</v>
      </c>
      <c r="D251" s="155" t="s">
        <v>223</v>
      </c>
      <c r="G251" s="207">
        <v>0</v>
      </c>
      <c r="H251" s="207">
        <v>0</v>
      </c>
      <c r="I251" s="207">
        <v>0</v>
      </c>
      <c r="J251" s="207">
        <v>0</v>
      </c>
      <c r="K251" s="207">
        <v>601982.15132000006</v>
      </c>
      <c r="L251" s="207">
        <v>151584.05350088002</v>
      </c>
      <c r="M251" s="207">
        <v>608001.97283320001</v>
      </c>
      <c r="N251" s="208">
        <v>887457.47807607893</v>
      </c>
      <c r="O251" s="208">
        <v>906136.38774333266</v>
      </c>
      <c r="P251" s="208">
        <v>925208.44488522795</v>
      </c>
      <c r="Q251" s="208">
        <v>944681.92433897825</v>
      </c>
      <c r="R251" s="208">
        <v>964565.27510781644</v>
      </c>
      <c r="S251" s="208">
        <v>984867.12402678421</v>
      </c>
      <c r="T251" s="208">
        <v>1029370.1585366151</v>
      </c>
      <c r="U251" s="208">
        <v>1075884.1446075921</v>
      </c>
      <c r="V251" s="208">
        <v>1124499.9507889238</v>
      </c>
      <c r="W251" s="208">
        <v>1175312.5516925368</v>
      </c>
      <c r="X251" s="208">
        <v>1228421.2135330839</v>
      </c>
      <c r="Y251" s="208">
        <v>1263809.0676065341</v>
      </c>
      <c r="Z251" s="208">
        <v>1280652.6610667862</v>
      </c>
      <c r="AA251" s="208">
        <v>1297720.7398926883</v>
      </c>
      <c r="AB251" s="208">
        <v>1315016.2959445904</v>
      </c>
      <c r="AC251" s="208">
        <v>1332542.3609572786</v>
      </c>
      <c r="AD251" s="208">
        <v>1348833.9835632164</v>
      </c>
      <c r="AE251" s="208">
        <v>1365324.7870544393</v>
      </c>
      <c r="AF251" s="208">
        <v>1382017.2066104249</v>
      </c>
      <c r="AG251" s="208">
        <v>1398913.7071830863</v>
      </c>
      <c r="AH251" s="208">
        <v>1416016.7838607598</v>
      </c>
      <c r="AI251" s="208">
        <v>1433328.962236658</v>
      </c>
      <c r="AJ251" s="208">
        <v>1450852.7987818208</v>
      </c>
      <c r="AK251" s="208">
        <v>1468590.8812226239</v>
      </c>
      <c r="AL251" s="208">
        <v>1486545.8289229078</v>
      </c>
      <c r="AM251" s="208">
        <v>1504720.293270777</v>
      </c>
      <c r="AN251" s="208">
        <v>1523116.9580701254</v>
      </c>
      <c r="AO251" s="208">
        <v>1541738.5399369549</v>
      </c>
      <c r="AP251" s="208">
        <v>1560587.7887005277</v>
      </c>
      <c r="AQ251" s="208">
        <v>1579667.4878094399</v>
      </c>
      <c r="AR251" s="208">
        <v>1598980.4547426447</v>
      </c>
    </row>
    <row r="252" spans="1:44" x14ac:dyDescent="0.2">
      <c r="B252" s="154">
        <v>3</v>
      </c>
      <c r="C252" s="137" t="s">
        <v>224</v>
      </c>
      <c r="D252" s="155" t="s">
        <v>225</v>
      </c>
      <c r="G252" s="207">
        <v>0</v>
      </c>
      <c r="H252" s="207">
        <v>0</v>
      </c>
      <c r="I252" s="207">
        <v>0</v>
      </c>
      <c r="J252" s="207">
        <v>0</v>
      </c>
      <c r="K252" s="207">
        <v>754136.35499999998</v>
      </c>
      <c r="L252" s="207">
        <v>188017.55699999997</v>
      </c>
      <c r="M252" s="207">
        <v>754136.35499999998</v>
      </c>
      <c r="N252" s="208">
        <v>830862.24776187504</v>
      </c>
      <c r="O252" s="208">
        <v>841317.01518453844</v>
      </c>
      <c r="P252" s="208">
        <v>851923.29821319273</v>
      </c>
      <c r="Q252" s="208">
        <v>862683.42547304824</v>
      </c>
      <c r="R252" s="208">
        <v>873599.76218236994</v>
      </c>
      <c r="S252" s="208">
        <v>909242.43381582573</v>
      </c>
      <c r="T252" s="208">
        <v>935503.09734706488</v>
      </c>
      <c r="U252" s="208">
        <v>955772.98123792314</v>
      </c>
      <c r="V252" s="208">
        <v>976607.82812480209</v>
      </c>
      <c r="W252" s="208">
        <v>998026.68224539701</v>
      </c>
      <c r="X252" s="208">
        <v>1011296.4228757976</v>
      </c>
      <c r="Y252" s="208">
        <v>1023598.7183943833</v>
      </c>
      <c r="Z252" s="208">
        <v>1036053.2154894678</v>
      </c>
      <c r="AA252" s="208">
        <v>1048661.8250590044</v>
      </c>
      <c r="AB252" s="208">
        <v>1061426.4822928065</v>
      </c>
      <c r="AC252" s="208">
        <v>1074349.1469845455</v>
      </c>
      <c r="AD252" s="208">
        <v>1086657.3840293065</v>
      </c>
      <c r="AE252" s="208">
        <v>1099107.8339765929</v>
      </c>
      <c r="AF252" s="208">
        <v>1111702.1528447357</v>
      </c>
      <c r="AG252" s="208">
        <v>1124442.0160717745</v>
      </c>
      <c r="AH252" s="208">
        <v>1135678.2398242331</v>
      </c>
      <c r="AI252" s="208">
        <v>1147038.6548063292</v>
      </c>
      <c r="AJ252" s="208">
        <v>1158524.7071972645</v>
      </c>
      <c r="AK252" s="208">
        <v>1170137.8604336239</v>
      </c>
      <c r="AL252" s="208">
        <v>1181879.5954176204</v>
      </c>
      <c r="AM252" s="208">
        <v>1193751.4107278611</v>
      </c>
      <c r="AN252" s="208">
        <v>1205754.822832678</v>
      </c>
      <c r="AO252" s="208">
        <v>1217891.3663060409</v>
      </c>
      <c r="AP252" s="208">
        <v>1230162.5940460896</v>
      </c>
      <c r="AQ252" s="208">
        <v>1242570.0774963195</v>
      </c>
      <c r="AR252" s="208">
        <v>1255115.406869451</v>
      </c>
    </row>
    <row r="253" spans="1:44" x14ac:dyDescent="0.2">
      <c r="B253" s="154">
        <v>4</v>
      </c>
      <c r="C253" s="137" t="s">
        <v>226</v>
      </c>
      <c r="D253" s="155" t="s">
        <v>227</v>
      </c>
      <c r="G253" s="207">
        <v>0</v>
      </c>
      <c r="H253" s="207">
        <v>0</v>
      </c>
      <c r="I253" s="207">
        <v>0</v>
      </c>
      <c r="J253" s="207">
        <v>0</v>
      </c>
      <c r="K253" s="207">
        <v>785500.3515915022</v>
      </c>
      <c r="L253" s="207">
        <v>195837.07395842933</v>
      </c>
      <c r="M253" s="207">
        <v>785500.3515915022</v>
      </c>
      <c r="N253" s="208">
        <v>2334593.9972432368</v>
      </c>
      <c r="O253" s="208">
        <v>2372366.4077425795</v>
      </c>
      <c r="P253" s="208">
        <v>2410989.9994004075</v>
      </c>
      <c r="Q253" s="208">
        <v>2450486.1317941286</v>
      </c>
      <c r="R253" s="208">
        <v>2490876.7161645745</v>
      </c>
      <c r="S253" s="208">
        <v>2595019.853918551</v>
      </c>
      <c r="T253" s="208">
        <v>2703824.5709598386</v>
      </c>
      <c r="U253" s="208">
        <v>2819261.5425489182</v>
      </c>
      <c r="V253" s="208">
        <v>2941753.5076176659</v>
      </c>
      <c r="W253" s="208">
        <v>3071750.3820875259</v>
      </c>
      <c r="X253" s="208">
        <v>3167077.164654091</v>
      </c>
      <c r="Y253" s="208">
        <v>3263635.2973387302</v>
      </c>
      <c r="Z253" s="208">
        <v>3364092.517992802</v>
      </c>
      <c r="AA253" s="208">
        <v>3470881.4690510831</v>
      </c>
      <c r="AB253" s="208">
        <v>3582158.4650286706</v>
      </c>
      <c r="AC253" s="208">
        <v>3697880.7451957851</v>
      </c>
      <c r="AD253" s="208">
        <v>3815539.7538072281</v>
      </c>
      <c r="AE253" s="208">
        <v>3937951.9663257175</v>
      </c>
      <c r="AF253" s="208">
        <v>4065316.8307828922</v>
      </c>
      <c r="AG253" s="208">
        <v>4199766.1855957406</v>
      </c>
      <c r="AH253" s="208">
        <v>4338573.0175253525</v>
      </c>
      <c r="AI253" s="208">
        <v>4384291.3309858385</v>
      </c>
      <c r="AJ253" s="208">
        <v>4430531.9159033131</v>
      </c>
      <c r="AK253" s="208">
        <v>4477300.9712093938</v>
      </c>
      <c r="AL253" s="208">
        <v>4524604.7706624549</v>
      </c>
      <c r="AM253" s="208">
        <v>4572449.6637573652</v>
      </c>
      <c r="AN253" s="208">
        <v>4620842.0766463084</v>
      </c>
      <c r="AO253" s="208">
        <v>4669788.5130708329</v>
      </c>
      <c r="AP253" s="208">
        <v>4719295.5553052723</v>
      </c>
      <c r="AQ253" s="208">
        <v>4769369.8651116695</v>
      </c>
      <c r="AR253" s="208">
        <v>4820018.1847063443</v>
      </c>
    </row>
    <row r="254" spans="1:44" x14ac:dyDescent="0.2">
      <c r="B254" s="154">
        <v>5</v>
      </c>
      <c r="C254" s="137" t="s">
        <v>228</v>
      </c>
      <c r="D254" s="155" t="s">
        <v>221</v>
      </c>
      <c r="G254" s="207">
        <v>0</v>
      </c>
      <c r="H254" s="207">
        <v>0</v>
      </c>
      <c r="I254" s="207">
        <v>0</v>
      </c>
      <c r="J254" s="207">
        <v>0</v>
      </c>
      <c r="K254" s="207">
        <v>409625.72249281866</v>
      </c>
      <c r="L254" s="207">
        <v>102851.04361460902</v>
      </c>
      <c r="M254" s="207">
        <v>413962.79660838045</v>
      </c>
      <c r="N254" s="208">
        <v>1308973.0443731947</v>
      </c>
      <c r="O254" s="208">
        <v>1328798.6233368197</v>
      </c>
      <c r="P254" s="208">
        <v>1348937.2276402465</v>
      </c>
      <c r="Q254" s="208">
        <v>1369393.8201573181</v>
      </c>
      <c r="R254" s="208">
        <v>1391397.8569040739</v>
      </c>
      <c r="S254" s="208">
        <v>1414545.9698775851</v>
      </c>
      <c r="T254" s="208">
        <v>1435735.7476563598</v>
      </c>
      <c r="U254" s="208">
        <v>1457267.98039043</v>
      </c>
      <c r="V254" s="208">
        <v>1479148.6180733752</v>
      </c>
      <c r="W254" s="208">
        <v>1500666.9124415398</v>
      </c>
      <c r="X254" s="208">
        <v>1522510.0178468609</v>
      </c>
      <c r="Y254" s="208">
        <v>1542695.5148097789</v>
      </c>
      <c r="Z254" s="208">
        <v>1563159.9889487622</v>
      </c>
      <c r="AA254" s="208">
        <v>1583907.3574138528</v>
      </c>
      <c r="AB254" s="208">
        <v>1604150.1740619258</v>
      </c>
      <c r="AC254" s="208">
        <v>1624660.1461418883</v>
      </c>
      <c r="AD254" s="208">
        <v>1643925.3823201798</v>
      </c>
      <c r="AE254" s="208">
        <v>1663697.4198150777</v>
      </c>
      <c r="AF254" s="208">
        <v>1683709.374586069</v>
      </c>
      <c r="AG254" s="208">
        <v>1703964.1617039507</v>
      </c>
      <c r="AH254" s="208">
        <v>1724464.7316975826</v>
      </c>
      <c r="AI254" s="208">
        <v>1745214.0709855824</v>
      </c>
      <c r="AJ254" s="208">
        <v>1766215.2023132741</v>
      </c>
      <c r="AK254" s="208">
        <v>1787471.185194971</v>
      </c>
      <c r="AL254" s="208">
        <v>1808985.1163616416</v>
      </c>
      <c r="AM254" s="208">
        <v>1830760.1302140262</v>
      </c>
      <c r="AN254" s="208">
        <v>1852799.3992812845</v>
      </c>
      <c r="AO254" s="208">
        <v>1875106.1346852228</v>
      </c>
      <c r="AP254" s="208">
        <v>1897683.5866101794</v>
      </c>
      <c r="AQ254" s="208">
        <v>1920535.0447786388</v>
      </c>
      <c r="AR254" s="208">
        <v>1943663.8389326392</v>
      </c>
    </row>
    <row r="255" spans="1:44" x14ac:dyDescent="0.2">
      <c r="B255" s="154">
        <v>6</v>
      </c>
      <c r="C255" s="137" t="s">
        <v>229</v>
      </c>
      <c r="D255" s="155" t="s">
        <v>230</v>
      </c>
      <c r="G255" s="207">
        <v>0</v>
      </c>
      <c r="H255" s="207">
        <v>0</v>
      </c>
      <c r="I255" s="207">
        <v>0</v>
      </c>
      <c r="J255" s="207">
        <v>0</v>
      </c>
      <c r="K255" s="207">
        <v>1472439.0000000002</v>
      </c>
      <c r="L255" s="207">
        <v>289417</v>
      </c>
      <c r="M255" s="207">
        <v>1104648.223893445</v>
      </c>
      <c r="N255" s="208">
        <v>3493962.4119310025</v>
      </c>
      <c r="O255" s="208">
        <v>3606482.551631575</v>
      </c>
      <c r="P255" s="208">
        <v>3717715.2269769348</v>
      </c>
      <c r="Q255" s="208">
        <v>3832279.8983485159</v>
      </c>
      <c r="R255" s="208">
        <v>3950340.0856737858</v>
      </c>
      <c r="S255" s="208">
        <v>4113710.1294298079</v>
      </c>
      <c r="T255" s="208">
        <v>4284377.9404045912</v>
      </c>
      <c r="U255" s="208">
        <v>4473449.8533366341</v>
      </c>
      <c r="V255" s="208">
        <v>4671362.6772344671</v>
      </c>
      <c r="W255" s="208">
        <v>4873564.0704066418</v>
      </c>
      <c r="X255" s="208">
        <v>4969244.9267155863</v>
      </c>
      <c r="Y255" s="208">
        <v>5072798.3192823119</v>
      </c>
      <c r="Z255" s="208">
        <v>5168796.7451850306</v>
      </c>
      <c r="AA255" s="208">
        <v>5275776.9061529059</v>
      </c>
      <c r="AB255" s="208">
        <v>5379958.3182387985</v>
      </c>
      <c r="AC255" s="208">
        <v>5473987.2869379427</v>
      </c>
      <c r="AD255" s="208">
        <v>5565957.805954406</v>
      </c>
      <c r="AE255" s="208">
        <v>5653652.50127309</v>
      </c>
      <c r="AF255" s="208">
        <v>5746368.1231976608</v>
      </c>
      <c r="AG255" s="208">
        <v>5830170.6507315934</v>
      </c>
      <c r="AH255" s="208">
        <v>5937587.7657747231</v>
      </c>
      <c r="AI255" s="208">
        <v>6036100.8960899003</v>
      </c>
      <c r="AJ255" s="208">
        <v>6135007.0087434854</v>
      </c>
      <c r="AK255" s="208">
        <v>6238956.9617373329</v>
      </c>
      <c r="AL255" s="208">
        <v>6343309.3397806333</v>
      </c>
      <c r="AM255" s="208">
        <v>6448068.9496840816</v>
      </c>
      <c r="AN255" s="208">
        <v>6562532.985955257</v>
      </c>
      <c r="AO255" s="208">
        <v>6672767.8771741707</v>
      </c>
      <c r="AP255" s="208">
        <v>6784356.0121819992</v>
      </c>
      <c r="AQ255" s="208">
        <v>6906253.6618045755</v>
      </c>
      <c r="AR255" s="208">
        <v>7023955.8952770811</v>
      </c>
    </row>
    <row r="256" spans="1:44" x14ac:dyDescent="0.2">
      <c r="B256" s="154">
        <v>7</v>
      </c>
      <c r="C256" s="137" t="s">
        <v>231</v>
      </c>
      <c r="D256" s="155" t="s">
        <v>225</v>
      </c>
      <c r="G256" s="207">
        <v>0</v>
      </c>
      <c r="H256" s="207">
        <v>0</v>
      </c>
      <c r="I256" s="207">
        <v>0</v>
      </c>
      <c r="J256" s="207">
        <v>0</v>
      </c>
      <c r="K256" s="207">
        <v>269684</v>
      </c>
      <c r="L256" s="207">
        <v>110378</v>
      </c>
      <c r="M256" s="207">
        <v>333758.51424871123</v>
      </c>
      <c r="N256" s="208">
        <v>341257.68850582774</v>
      </c>
      <c r="O256" s="208">
        <v>347113.55997505476</v>
      </c>
      <c r="P256" s="208">
        <v>353430.25144914025</v>
      </c>
      <c r="Q256" s="208">
        <v>359881.78812185524</v>
      </c>
      <c r="R256" s="208">
        <v>366471.33757319854</v>
      </c>
      <c r="S256" s="208">
        <v>381820.37636163959</v>
      </c>
      <c r="T256" s="208">
        <v>397675.02533533622</v>
      </c>
      <c r="U256" s="208">
        <v>415322.89965296106</v>
      </c>
      <c r="V256" s="208">
        <v>433693.77002106846</v>
      </c>
      <c r="W256" s="208">
        <v>452951.79435772134</v>
      </c>
      <c r="X256" s="208">
        <v>469298.32462338347</v>
      </c>
      <c r="Y256" s="208">
        <v>475322.41885044368</v>
      </c>
      <c r="Z256" s="208">
        <v>481435.54258740688</v>
      </c>
      <c r="AA256" s="208">
        <v>487639.06094688375</v>
      </c>
      <c r="AB256" s="208">
        <v>493934.36084348441</v>
      </c>
      <c r="AC256" s="208">
        <v>500322.57512637851</v>
      </c>
      <c r="AD256" s="208">
        <v>505652.07665243535</v>
      </c>
      <c r="AE256" s="208">
        <v>511044.81385882816</v>
      </c>
      <c r="AF256" s="208">
        <v>516501.54063662997</v>
      </c>
      <c r="AG256" s="208">
        <v>522023.01990170078</v>
      </c>
      <c r="AH256" s="208">
        <v>527610.02370309783</v>
      </c>
      <c r="AI256" s="208">
        <v>533660.12696290819</v>
      </c>
      <c r="AJ256" s="208">
        <v>539723.97274668363</v>
      </c>
      <c r="AK256" s="208">
        <v>545859.91400012386</v>
      </c>
      <c r="AL256" s="208">
        <v>552355.35464421858</v>
      </c>
      <c r="AM256" s="208">
        <v>558898.15774693363</v>
      </c>
      <c r="AN256" s="208">
        <v>565518.85019492649</v>
      </c>
      <c r="AO256" s="208">
        <v>572218.36323330074</v>
      </c>
      <c r="AP256" s="208">
        <v>578997.63928225893</v>
      </c>
      <c r="AQ256" s="208">
        <v>585857.63207162288</v>
      </c>
      <c r="AR256" s="208">
        <v>592799.30677698529</v>
      </c>
    </row>
    <row r="257" spans="1:44" x14ac:dyDescent="0.2">
      <c r="B257" s="154">
        <v>8</v>
      </c>
      <c r="C257" s="137" t="s">
        <v>232</v>
      </c>
      <c r="D257" s="155" t="s">
        <v>233</v>
      </c>
      <c r="G257" s="207">
        <v>0</v>
      </c>
      <c r="H257" s="207">
        <v>0</v>
      </c>
      <c r="I257" s="207">
        <v>0</v>
      </c>
      <c r="J257" s="207">
        <v>0</v>
      </c>
      <c r="K257" s="207">
        <v>1418803</v>
      </c>
      <c r="L257" s="207">
        <v>467568</v>
      </c>
      <c r="M257" s="207">
        <v>1880280.5653654076</v>
      </c>
      <c r="N257" s="208">
        <v>10444849.686639957</v>
      </c>
      <c r="O257" s="208">
        <v>10576629.0272968</v>
      </c>
      <c r="P257" s="208">
        <v>10710566.302902881</v>
      </c>
      <c r="Q257" s="208">
        <v>10846698.38303264</v>
      </c>
      <c r="R257" s="208">
        <v>10985062.800039131</v>
      </c>
      <c r="S257" s="208">
        <v>11126523.427279957</v>
      </c>
      <c r="T257" s="208">
        <v>11260090.937269004</v>
      </c>
      <c r="U257" s="208">
        <v>11395727.228646837</v>
      </c>
      <c r="V257" s="208">
        <v>11533466.477327207</v>
      </c>
      <c r="W257" s="208">
        <v>11673343.474391516</v>
      </c>
      <c r="X257" s="208">
        <v>11814915.052249625</v>
      </c>
      <c r="Y257" s="208">
        <v>11945916.821952447</v>
      </c>
      <c r="Z257" s="208">
        <v>12078781.6280386</v>
      </c>
      <c r="AA257" s="208">
        <v>12213538.363735698</v>
      </c>
      <c r="AB257" s="208">
        <v>12350216.428848617</v>
      </c>
      <c r="AC257" s="208">
        <v>12488317.342239736</v>
      </c>
      <c r="AD257" s="208">
        <v>12617787.729101162</v>
      </c>
      <c r="AE257" s="208">
        <v>12748983.79203295</v>
      </c>
      <c r="AF257" s="208">
        <v>12881931.492901344</v>
      </c>
      <c r="AG257" s="208">
        <v>13016657.257890694</v>
      </c>
      <c r="AH257" s="208">
        <v>13153187.987592584</v>
      </c>
      <c r="AI257" s="208">
        <v>13291551.067350797</v>
      </c>
      <c r="AJ257" s="208">
        <v>13431774.377869034</v>
      </c>
      <c r="AK257" s="208">
        <v>13573886.30608895</v>
      </c>
      <c r="AL257" s="208">
        <v>13717915.756345773</v>
      </c>
      <c r="AM257" s="208">
        <v>13863892.161809396</v>
      </c>
      <c r="AN257" s="208">
        <v>14011845.496218847</v>
      </c>
      <c r="AO257" s="208">
        <v>14161806.285918379</v>
      </c>
      <c r="AP257" s="208">
        <v>14313805.622203508</v>
      </c>
      <c r="AQ257" s="208">
        <v>14467875.1739858</v>
      </c>
      <c r="AR257" s="208">
        <v>14624047.200785255</v>
      </c>
    </row>
    <row r="258" spans="1:44" x14ac:dyDescent="0.2">
      <c r="A258" s="204"/>
      <c r="B258" s="160"/>
      <c r="C258" s="203" t="s">
        <v>84</v>
      </c>
      <c r="D258" s="229"/>
      <c r="E258" s="203"/>
      <c r="F258" s="203"/>
      <c r="G258" s="170">
        <v>0</v>
      </c>
      <c r="H258" s="170">
        <v>0</v>
      </c>
      <c r="I258" s="170">
        <v>0</v>
      </c>
      <c r="J258" s="170">
        <v>0</v>
      </c>
      <c r="K258" s="170">
        <v>6020693.5804043217</v>
      </c>
      <c r="L258" s="170">
        <v>1590949.7280739183</v>
      </c>
      <c r="M258" s="170">
        <v>6227390.6642563604</v>
      </c>
      <c r="N258" s="160">
        <v>20106511.639416676</v>
      </c>
      <c r="O258" s="160">
        <v>20452731.174990736</v>
      </c>
      <c r="P258" s="160">
        <v>20802185.072040621</v>
      </c>
      <c r="Q258" s="160">
        <v>21159244.687981855</v>
      </c>
      <c r="R258" s="160">
        <v>21525380.586247578</v>
      </c>
      <c r="S258" s="160">
        <v>22039249.037445664</v>
      </c>
      <c r="T258" s="160">
        <v>22583790.084009171</v>
      </c>
      <c r="U258" s="160">
        <v>23154699.963834167</v>
      </c>
      <c r="V258" s="160">
        <v>23748507.526006155</v>
      </c>
      <c r="W258" s="160">
        <v>24360767.940473076</v>
      </c>
      <c r="X258" s="160">
        <v>24819975.408434935</v>
      </c>
      <c r="Y258" s="160">
        <v>25246986.885047548</v>
      </c>
      <c r="Z258" s="160">
        <v>25654955.55202467</v>
      </c>
      <c r="AA258" s="160">
        <v>26072284.947529994</v>
      </c>
      <c r="AB258" s="160">
        <v>26491693.712690268</v>
      </c>
      <c r="AC258" s="160">
        <v>26906754.866404507</v>
      </c>
      <c r="AD258" s="160">
        <v>27307636.108445041</v>
      </c>
      <c r="AE258" s="160">
        <v>27711735.635362931</v>
      </c>
      <c r="AF258" s="160">
        <v>28128314.827243276</v>
      </c>
      <c r="AG258" s="160">
        <v>28545607.020199429</v>
      </c>
      <c r="AH258" s="160">
        <v>28991798.106931455</v>
      </c>
      <c r="AI258" s="160">
        <v>29338983.127884276</v>
      </c>
      <c r="AJ258" s="160">
        <v>29689656.710363142</v>
      </c>
      <c r="AK258" s="160">
        <v>30048571.099069059</v>
      </c>
      <c r="AL258" s="160">
        <v>30411416.011176005</v>
      </c>
      <c r="AM258" s="160">
        <v>30777928.553496085</v>
      </c>
      <c r="AN258" s="160">
        <v>31157481.6066655</v>
      </c>
      <c r="AO258" s="160">
        <v>31536188.426307075</v>
      </c>
      <c r="AP258" s="160">
        <v>31919678.990619712</v>
      </c>
      <c r="AQ258" s="160">
        <v>32316957.937166497</v>
      </c>
      <c r="AR258" s="160">
        <v>32713569.494720928</v>
      </c>
    </row>
    <row r="259" spans="1:44" x14ac:dyDescent="0.2">
      <c r="B259" s="154"/>
      <c r="D259" s="155"/>
      <c r="G259" s="154"/>
      <c r="H259" s="154"/>
      <c r="I259" s="154"/>
      <c r="J259" s="154"/>
      <c r="K259" s="154"/>
      <c r="L259" s="206"/>
      <c r="W259" s="172"/>
    </row>
    <row r="260" spans="1:44" x14ac:dyDescent="0.2">
      <c r="B260" s="139"/>
      <c r="C260" s="140" t="s">
        <v>263</v>
      </c>
      <c r="D260" s="141"/>
      <c r="E260" s="140"/>
      <c r="F260" s="140"/>
      <c r="G260" s="142"/>
      <c r="H260" s="142"/>
      <c r="I260" s="139"/>
      <c r="J260" s="139"/>
      <c r="K260" s="139"/>
      <c r="L260" s="143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0"/>
      <c r="X260" s="144"/>
      <c r="Y260" s="144"/>
      <c r="Z260" s="144"/>
      <c r="AA260" s="144"/>
      <c r="AB260" s="144"/>
      <c r="AC260" s="144"/>
      <c r="AD260" s="144"/>
      <c r="AE260" s="144"/>
      <c r="AF260" s="144"/>
      <c r="AG260" s="144"/>
      <c r="AH260" s="144"/>
      <c r="AI260" s="144"/>
      <c r="AJ260" s="144"/>
      <c r="AK260" s="144"/>
      <c r="AL260" s="144"/>
      <c r="AM260" s="144"/>
      <c r="AN260" s="144"/>
      <c r="AO260" s="144"/>
      <c r="AP260" s="144"/>
      <c r="AQ260" s="144"/>
      <c r="AR260" s="144"/>
    </row>
    <row r="261" spans="1:44" x14ac:dyDescent="0.2">
      <c r="B261" s="230"/>
      <c r="C261" s="146" t="s">
        <v>218</v>
      </c>
      <c r="D261" s="147" t="s">
        <v>219</v>
      </c>
      <c r="E261" s="230"/>
      <c r="F261" s="230"/>
      <c r="G261" s="231">
        <v>2019</v>
      </c>
      <c r="H261" s="231">
        <v>2020</v>
      </c>
      <c r="I261" s="231">
        <v>2021</v>
      </c>
      <c r="J261" s="231">
        <v>2022</v>
      </c>
      <c r="K261" s="231">
        <v>2023</v>
      </c>
      <c r="L261" s="232">
        <v>45352</v>
      </c>
      <c r="M261" s="231">
        <v>2024</v>
      </c>
      <c r="N261" s="230">
        <v>2025</v>
      </c>
      <c r="O261" s="230">
        <v>2026</v>
      </c>
      <c r="P261" s="230">
        <v>2027</v>
      </c>
      <c r="Q261" s="230">
        <v>2028</v>
      </c>
      <c r="R261" s="230">
        <v>2029</v>
      </c>
      <c r="S261" s="230">
        <v>2030</v>
      </c>
      <c r="T261" s="230">
        <v>2031</v>
      </c>
      <c r="U261" s="230">
        <v>2032</v>
      </c>
      <c r="V261" s="230">
        <v>2033</v>
      </c>
      <c r="W261" s="230">
        <v>2034</v>
      </c>
      <c r="X261" s="230">
        <v>2035</v>
      </c>
      <c r="Y261" s="230">
        <v>2036</v>
      </c>
      <c r="Z261" s="230">
        <v>2037</v>
      </c>
      <c r="AA261" s="230">
        <v>2038</v>
      </c>
      <c r="AB261" s="230">
        <v>2039</v>
      </c>
      <c r="AC261" s="230">
        <v>2040</v>
      </c>
      <c r="AD261" s="230">
        <v>2041</v>
      </c>
      <c r="AE261" s="230">
        <v>2042</v>
      </c>
      <c r="AF261" s="230">
        <v>2043</v>
      </c>
      <c r="AG261" s="230">
        <v>2044</v>
      </c>
      <c r="AH261" s="230">
        <v>2045</v>
      </c>
      <c r="AI261" s="230">
        <v>2046</v>
      </c>
      <c r="AJ261" s="230">
        <v>2047</v>
      </c>
      <c r="AK261" s="230">
        <v>2048</v>
      </c>
      <c r="AL261" s="230">
        <v>2049</v>
      </c>
      <c r="AM261" s="230">
        <v>2050</v>
      </c>
      <c r="AN261" s="230">
        <v>2051</v>
      </c>
      <c r="AO261" s="230">
        <v>2052</v>
      </c>
      <c r="AP261" s="230">
        <v>2053</v>
      </c>
      <c r="AQ261" s="230">
        <v>2054</v>
      </c>
      <c r="AR261" s="230">
        <v>2055</v>
      </c>
    </row>
    <row r="262" spans="1:44" x14ac:dyDescent="0.2">
      <c r="A262" s="184"/>
      <c r="B262" s="185"/>
      <c r="C262" s="185"/>
      <c r="D262" s="186"/>
      <c r="E262" s="185"/>
      <c r="F262" s="185"/>
      <c r="G262" s="187"/>
      <c r="H262" s="187"/>
      <c r="I262" s="187"/>
      <c r="J262" s="187"/>
      <c r="K262" s="188"/>
      <c r="L262" s="188"/>
      <c r="M262" s="188"/>
      <c r="N262" s="188"/>
      <c r="O262" s="185"/>
      <c r="P262" s="185"/>
      <c r="Q262" s="185"/>
      <c r="R262" s="185"/>
      <c r="S262" s="185"/>
      <c r="T262" s="185"/>
      <c r="U262" s="185"/>
      <c r="V262" s="185"/>
      <c r="W262" s="185"/>
      <c r="X262" s="185"/>
      <c r="Y262" s="185"/>
      <c r="Z262" s="185"/>
      <c r="AA262" s="185"/>
      <c r="AB262" s="185"/>
      <c r="AC262" s="185"/>
      <c r="AD262" s="185"/>
      <c r="AE262" s="185"/>
      <c r="AF262" s="185"/>
      <c r="AG262" s="185"/>
      <c r="AH262" s="185"/>
      <c r="AI262" s="185"/>
      <c r="AJ262" s="185"/>
      <c r="AK262" s="185"/>
      <c r="AL262" s="185"/>
      <c r="AM262" s="185"/>
      <c r="AN262" s="185"/>
      <c r="AO262" s="185"/>
      <c r="AP262" s="185"/>
      <c r="AQ262" s="185"/>
      <c r="AR262" s="185"/>
    </row>
    <row r="263" spans="1:44" x14ac:dyDescent="0.2">
      <c r="B263" s="150"/>
      <c r="C263" s="150"/>
      <c r="D263" s="228"/>
      <c r="E263" s="150"/>
      <c r="F263" s="198"/>
      <c r="G263" s="150"/>
      <c r="H263" s="150"/>
      <c r="I263" s="150"/>
      <c r="J263" s="150"/>
      <c r="K263" s="150"/>
      <c r="L263" s="150"/>
      <c r="M263" s="150"/>
      <c r="N263" s="150"/>
      <c r="O263" s="150"/>
      <c r="P263" s="150"/>
      <c r="Q263" s="150"/>
      <c r="R263" s="150"/>
      <c r="S263" s="150"/>
      <c r="T263" s="150"/>
      <c r="U263" s="150"/>
      <c r="V263" s="150"/>
      <c r="W263" s="150"/>
      <c r="X263" s="150"/>
      <c r="Y263" s="150"/>
      <c r="Z263" s="150"/>
      <c r="AA263" s="150"/>
      <c r="AB263" s="150"/>
      <c r="AC263" s="150"/>
      <c r="AD263" s="150"/>
      <c r="AE263" s="150"/>
      <c r="AF263" s="150"/>
      <c r="AG263" s="150"/>
      <c r="AH263" s="150"/>
      <c r="AI263" s="150"/>
      <c r="AJ263" s="150"/>
      <c r="AK263" s="150"/>
      <c r="AL263" s="150"/>
      <c r="AM263" s="150"/>
      <c r="AN263" s="150"/>
      <c r="AO263" s="150"/>
      <c r="AP263" s="150"/>
      <c r="AQ263" s="150"/>
      <c r="AR263" s="150"/>
    </row>
    <row r="264" spans="1:44" x14ac:dyDescent="0.2">
      <c r="B264" s="154">
        <v>1</v>
      </c>
      <c r="C264" s="137" t="s">
        <v>220</v>
      </c>
      <c r="D264" s="155" t="s">
        <v>221</v>
      </c>
      <c r="G264" s="207">
        <v>0</v>
      </c>
      <c r="H264" s="207">
        <v>0</v>
      </c>
      <c r="I264" s="207">
        <v>0</v>
      </c>
      <c r="J264" s="207">
        <v>0</v>
      </c>
      <c r="K264" s="207">
        <v>1141.7268270500001</v>
      </c>
      <c r="L264" s="207">
        <v>0</v>
      </c>
      <c r="M264" s="207">
        <v>1236.6204580684075</v>
      </c>
      <c r="N264" s="207">
        <v>1343.2989706881876</v>
      </c>
      <c r="O264" s="207">
        <v>1459.2786919888324</v>
      </c>
      <c r="P264" s="207">
        <v>1585.2729049561508</v>
      </c>
      <c r="Q264" s="207">
        <v>1722.1464065014568</v>
      </c>
      <c r="R264" s="207">
        <v>1870.8386794394237</v>
      </c>
      <c r="S264" s="207">
        <v>2032.3703431364129</v>
      </c>
      <c r="T264" s="207">
        <v>2207.8501613564331</v>
      </c>
      <c r="U264" s="207">
        <v>2398.4826554393198</v>
      </c>
      <c r="V264" s="207">
        <v>2605.5763751043269</v>
      </c>
      <c r="W264" s="207">
        <v>2830.5528836902822</v>
      </c>
      <c r="X264" s="207">
        <v>3074.9565195517357</v>
      </c>
      <c r="Y264" s="207">
        <v>3340.4650006629554</v>
      </c>
      <c r="Z264" s="207">
        <v>3628.9009452747937</v>
      </c>
      <c r="AA264" s="207">
        <v>3942.2443877631767</v>
      </c>
      <c r="AB264" s="207">
        <v>4282.6463756455287</v>
      </c>
      <c r="AC264" s="207">
        <v>4652.4437411698627</v>
      </c>
      <c r="AD264" s="207">
        <v>5054.17514895149</v>
      </c>
      <c r="AE264" s="207">
        <v>5490.5985298999694</v>
      </c>
      <c r="AF264" s="207">
        <v>5964.7100212041423</v>
      </c>
      <c r="AG264" s="207">
        <v>6479.7645424913935</v>
      </c>
      <c r="AH264" s="207">
        <v>7039.298149519931</v>
      </c>
      <c r="AI264" s="207">
        <v>7647.1523189767831</v>
      </c>
      <c r="AJ264" s="207">
        <v>8307.500331223855</v>
      </c>
      <c r="AK264" s="207">
        <v>9024.875932250523</v>
      </c>
      <c r="AL264" s="207">
        <v>9804.2044717532008</v>
      </c>
      <c r="AM264" s="207">
        <v>10650.836731277763</v>
      </c>
      <c r="AN264" s="207">
        <v>11570.585674846468</v>
      </c>
      <c r="AO264" s="207">
        <v>12569.766374574454</v>
      </c>
      <c r="AP264" s="207">
        <v>13655.239385599618</v>
      </c>
      <c r="AQ264" s="207">
        <v>14834.45786835424</v>
      </c>
      <c r="AR264" s="207">
        <v>16115.518781959643</v>
      </c>
    </row>
    <row r="265" spans="1:44" x14ac:dyDescent="0.2">
      <c r="B265" s="154">
        <v>2</v>
      </c>
      <c r="C265" s="137" t="s">
        <v>222</v>
      </c>
      <c r="D265" s="155" t="s">
        <v>223</v>
      </c>
      <c r="G265" s="156">
        <v>0</v>
      </c>
      <c r="H265" s="156">
        <v>0</v>
      </c>
      <c r="I265" s="156">
        <v>0</v>
      </c>
      <c r="J265" s="156">
        <v>1043.7680254499999</v>
      </c>
      <c r="K265" s="156">
        <v>750.70205895000004</v>
      </c>
      <c r="L265" s="156">
        <v>0</v>
      </c>
      <c r="M265" s="156">
        <v>797.9570448980935</v>
      </c>
      <c r="N265" s="156">
        <v>867.8950371963831</v>
      </c>
      <c r="O265" s="156">
        <v>944.46778177029478</v>
      </c>
      <c r="P265" s="156">
        <v>1027.7973011979309</v>
      </c>
      <c r="Q265" s="156">
        <v>1118.4798913170418</v>
      </c>
      <c r="R265" s="156">
        <v>1217.1644787787393</v>
      </c>
      <c r="S265" s="156">
        <v>1324.5572669837268</v>
      </c>
      <c r="T265" s="156">
        <v>1441.4267921850119</v>
      </c>
      <c r="U265" s="156">
        <v>1568.609425973028</v>
      </c>
      <c r="V265" s="156">
        <v>1707.0153635572001</v>
      </c>
      <c r="W265" s="156">
        <v>1857.6351407385198</v>
      </c>
      <c r="X265" s="156">
        <v>2021.5467262556174</v>
      </c>
      <c r="Y265" s="156">
        <v>2199.9232403092933</v>
      </c>
      <c r="Z265" s="156">
        <v>2394.0413545570377</v>
      </c>
      <c r="AA265" s="156">
        <v>2605.2904337518621</v>
      </c>
      <c r="AB265" s="156">
        <v>2835.1824845138558</v>
      </c>
      <c r="AC265" s="156">
        <v>3085.3629825062731</v>
      </c>
      <c r="AD265" s="156">
        <v>3357.6226555821818</v>
      </c>
      <c r="AE265" s="156">
        <v>3653.910307317838</v>
      </c>
      <c r="AF265" s="156">
        <v>3976.3467728041155</v>
      </c>
      <c r="AG265" s="156">
        <v>4327.2401066809689</v>
      </c>
      <c r="AH265" s="156">
        <v>4709.1021122301927</v>
      </c>
      <c r="AI265" s="156">
        <v>5124.6663299519541</v>
      </c>
      <c r="AJ265" s="156">
        <v>5576.9076145096478</v>
      </c>
      <c r="AK265" s="156">
        <v>6069.063440310545</v>
      </c>
      <c r="AL265" s="156">
        <v>6604.6570883779968</v>
      </c>
      <c r="AM265" s="156">
        <v>7187.522880653557</v>
      </c>
      <c r="AN265" s="156">
        <v>7821.8336425408997</v>
      </c>
      <c r="AO265" s="156">
        <v>8512.1305904730307</v>
      </c>
      <c r="AP265" s="156">
        <v>9263.3558586644904</v>
      </c>
      <c r="AQ265" s="156">
        <v>10080.887898125835</v>
      </c>
      <c r="AR265" s="156">
        <v>10970.580001603965</v>
      </c>
    </row>
    <row r="266" spans="1:44" x14ac:dyDescent="0.2">
      <c r="B266" s="154">
        <v>3</v>
      </c>
      <c r="C266" s="137" t="s">
        <v>224</v>
      </c>
      <c r="D266" s="155" t="s">
        <v>225</v>
      </c>
      <c r="G266" s="156">
        <v>0</v>
      </c>
      <c r="H266" s="156">
        <v>0</v>
      </c>
      <c r="I266" s="156">
        <v>0</v>
      </c>
      <c r="J266" s="156">
        <v>0</v>
      </c>
      <c r="K266" s="156">
        <v>0</v>
      </c>
      <c r="L266" s="156">
        <v>0</v>
      </c>
      <c r="M266" s="156">
        <v>0</v>
      </c>
      <c r="N266" s="156">
        <v>0</v>
      </c>
      <c r="O266" s="156">
        <v>0</v>
      </c>
      <c r="P266" s="156">
        <v>0</v>
      </c>
      <c r="Q266" s="156">
        <v>0</v>
      </c>
      <c r="R266" s="156">
        <v>0</v>
      </c>
      <c r="S266" s="156">
        <v>0</v>
      </c>
      <c r="T266" s="156">
        <v>0</v>
      </c>
      <c r="U266" s="156">
        <v>0</v>
      </c>
      <c r="V266" s="156">
        <v>0</v>
      </c>
      <c r="W266" s="156">
        <v>0</v>
      </c>
      <c r="X266" s="156">
        <v>0</v>
      </c>
      <c r="Y266" s="156">
        <v>0</v>
      </c>
      <c r="Z266" s="156">
        <v>0</v>
      </c>
      <c r="AA266" s="156">
        <v>0</v>
      </c>
      <c r="AB266" s="156">
        <v>0</v>
      </c>
      <c r="AC266" s="156">
        <v>0</v>
      </c>
      <c r="AD266" s="156">
        <v>0</v>
      </c>
      <c r="AE266" s="156">
        <v>0</v>
      </c>
      <c r="AF266" s="156">
        <v>0</v>
      </c>
      <c r="AG266" s="156">
        <v>0</v>
      </c>
      <c r="AH266" s="156">
        <v>0</v>
      </c>
      <c r="AI266" s="156">
        <v>0</v>
      </c>
      <c r="AJ266" s="156">
        <v>0</v>
      </c>
      <c r="AK266" s="156">
        <v>0</v>
      </c>
      <c r="AL266" s="156">
        <v>0</v>
      </c>
      <c r="AM266" s="156">
        <v>0</v>
      </c>
      <c r="AN266" s="156">
        <v>0</v>
      </c>
      <c r="AO266" s="156">
        <v>0</v>
      </c>
      <c r="AP266" s="156">
        <v>0</v>
      </c>
      <c r="AQ266" s="156">
        <v>0</v>
      </c>
      <c r="AR266" s="156">
        <v>0</v>
      </c>
    </row>
    <row r="267" spans="1:44" x14ac:dyDescent="0.2">
      <c r="B267" s="154">
        <v>4</v>
      </c>
      <c r="C267" s="137" t="s">
        <v>226</v>
      </c>
      <c r="D267" s="155" t="s">
        <v>227</v>
      </c>
      <c r="G267" s="156">
        <v>0</v>
      </c>
      <c r="H267" s="156">
        <v>0</v>
      </c>
      <c r="I267" s="156">
        <v>0</v>
      </c>
      <c r="J267" s="156">
        <v>14180.057793599995</v>
      </c>
      <c r="K267" s="156">
        <v>20965.287945650001</v>
      </c>
      <c r="L267" s="156">
        <v>0</v>
      </c>
      <c r="M267" s="156">
        <v>22528.833980499043</v>
      </c>
      <c r="N267" s="156">
        <v>24485.329200258479</v>
      </c>
      <c r="O267" s="156">
        <v>26618.756765117585</v>
      </c>
      <c r="P267" s="156">
        <v>28938.112808447855</v>
      </c>
      <c r="Q267" s="156">
        <v>31459.60462364358</v>
      </c>
      <c r="R267" s="156">
        <v>34200.852601523526</v>
      </c>
      <c r="S267" s="156">
        <v>37181.013464508986</v>
      </c>
      <c r="T267" s="156">
        <v>40420.914250297385</v>
      </c>
      <c r="U267" s="156">
        <v>43943.197982902406</v>
      </c>
      <c r="V267" s="156">
        <v>47772.48205077782</v>
      </c>
      <c r="W267" s="156">
        <v>51935.530400731775</v>
      </c>
      <c r="X267" s="156">
        <v>56461.440753096766</v>
      </c>
      <c r="Y267" s="156">
        <v>61381.848148823534</v>
      </c>
      <c r="Z267" s="156">
        <v>66731.146253555518</v>
      </c>
      <c r="AA267" s="156">
        <v>72546.727968112391</v>
      </c>
      <c r="AB267" s="156">
        <v>78869.247030041937</v>
      </c>
      <c r="AC267" s="156">
        <v>85742.902437933517</v>
      </c>
      <c r="AD267" s="156">
        <v>93215.747690058924</v>
      </c>
      <c r="AE267" s="156">
        <v>101340.02700273291</v>
      </c>
      <c r="AF267" s="156">
        <v>110172.54086278992</v>
      </c>
      <c r="AG267" s="156">
        <v>119775.04347407732</v>
      </c>
      <c r="AH267" s="156">
        <v>130214.67488131124</v>
      </c>
      <c r="AI267" s="156">
        <v>141564.43079759437</v>
      </c>
      <c r="AJ267" s="156">
        <v>153903.67342606213</v>
      </c>
      <c r="AK267" s="156">
        <v>167318.68685335229</v>
      </c>
      <c r="AL267" s="156">
        <v>181903.28090490308</v>
      </c>
      <c r="AM267" s="156">
        <v>197759.44769166084</v>
      </c>
      <c r="AN267" s="156">
        <v>214998.0754470067</v>
      </c>
      <c r="AO267" s="156">
        <v>233739.72465417802</v>
      </c>
      <c r="AP267" s="156">
        <v>254115.47190098284</v>
      </c>
      <c r="AQ267" s="156">
        <v>276267.82737324422</v>
      </c>
      <c r="AR267" s="156">
        <v>300351.7324144973</v>
      </c>
    </row>
    <row r="268" spans="1:44" x14ac:dyDescent="0.2">
      <c r="B268" s="154">
        <v>5</v>
      </c>
      <c r="C268" s="137" t="s">
        <v>228</v>
      </c>
      <c r="D268" s="155" t="s">
        <v>221</v>
      </c>
      <c r="G268" s="156">
        <v>0</v>
      </c>
      <c r="H268" s="156">
        <v>0</v>
      </c>
      <c r="I268" s="156">
        <v>0</v>
      </c>
      <c r="J268" s="156">
        <v>0</v>
      </c>
      <c r="K268" s="156">
        <v>4264.7985196499994</v>
      </c>
      <c r="L268" s="156">
        <v>0</v>
      </c>
      <c r="M268" s="156">
        <v>4579.1277610383631</v>
      </c>
      <c r="N268" s="156">
        <v>4977.0712833204088</v>
      </c>
      <c r="O268" s="156">
        <v>5411.1346174324553</v>
      </c>
      <c r="P268" s="156">
        <v>5883.0622798665418</v>
      </c>
      <c r="Q268" s="156">
        <v>6396.1580090757479</v>
      </c>
      <c r="R268" s="156">
        <v>6954.0138667155243</v>
      </c>
      <c r="S268" s="156">
        <v>7560.5354058523426</v>
      </c>
      <c r="T268" s="156">
        <v>8219.9690366475988</v>
      </c>
      <c r="U268" s="156">
        <v>8936.9317814255519</v>
      </c>
      <c r="V268" s="156">
        <v>9716.4436277975947</v>
      </c>
      <c r="W268" s="156">
        <v>10563.962706743236</v>
      </c>
      <c r="X268" s="156">
        <v>11485.423542369081</v>
      </c>
      <c r="Y268" s="156">
        <v>12487.278641619705</v>
      </c>
      <c r="Z268" s="156">
        <v>13576.543715650078</v>
      </c>
      <c r="AA268" s="156">
        <v>14760.846850052909</v>
      </c>
      <c r="AB268" s="156">
        <v>16048.481968844593</v>
      </c>
      <c r="AC268" s="156">
        <v>17448.466967245076</v>
      </c>
      <c r="AD268" s="156">
        <v>18970.606921051774</v>
      </c>
      <c r="AE268" s="156">
        <v>20625.562816035384</v>
      </c>
      <c r="AF268" s="156">
        <v>22424.926279526706</v>
      </c>
      <c r="AG268" s="156">
        <v>24381.30083849014</v>
      </c>
      <c r="AH268" s="156">
        <v>26508.390274187823</v>
      </c>
      <c r="AI268" s="156">
        <v>28821.094693349332</v>
      </c>
      <c r="AJ268" s="156">
        <v>31335.614989926704</v>
      </c>
      <c r="AK268" s="156">
        <v>34069.566430412182</v>
      </c>
      <c r="AL268" s="156">
        <v>37042.102159741815</v>
      </c>
      <c r="AM268" s="156">
        <v>40274.04749445081</v>
      </c>
      <c r="AN268" s="156">
        <v>43788.045945476144</v>
      </c>
      <c r="AO268" s="156">
        <v>47608.717995350235</v>
      </c>
      <c r="AP268" s="156">
        <v>51762.833744075229</v>
      </c>
      <c r="AQ268" s="156">
        <v>56279.500635339908</v>
      </c>
      <c r="AR268" s="156">
        <v>61190.36758062437</v>
      </c>
    </row>
    <row r="269" spans="1:44" x14ac:dyDescent="0.2">
      <c r="B269" s="154">
        <v>6</v>
      </c>
      <c r="C269" s="137" t="s">
        <v>229</v>
      </c>
      <c r="D269" s="155" t="s">
        <v>230</v>
      </c>
      <c r="G269" s="156">
        <v>0</v>
      </c>
      <c r="H269" s="156">
        <v>0</v>
      </c>
      <c r="I269" s="156">
        <v>0</v>
      </c>
      <c r="J269" s="156">
        <v>216505.14033605001</v>
      </c>
      <c r="K269" s="156">
        <v>530086.25674564997</v>
      </c>
      <c r="L269" s="156">
        <v>0</v>
      </c>
      <c r="M269" s="156">
        <v>568574.76421220228</v>
      </c>
      <c r="N269" s="156">
        <v>618028.66357765207</v>
      </c>
      <c r="O269" s="156">
        <v>671991.92174535769</v>
      </c>
      <c r="P269" s="156">
        <v>730668.06515147979</v>
      </c>
      <c r="Q269" s="156">
        <v>794468.78806629893</v>
      </c>
      <c r="R269" s="156">
        <v>863841.75655382581</v>
      </c>
      <c r="S269" s="156">
        <v>939273.75222678552</v>
      </c>
      <c r="T269" s="156">
        <v>1021294.0908128893</v>
      </c>
      <c r="U269" s="156">
        <v>1110478.3395605162</v>
      </c>
      <c r="V269" s="156">
        <v>1207452.3596132915</v>
      </c>
      <c r="W269" s="156">
        <v>1312896.7017682442</v>
      </c>
      <c r="X269" s="156">
        <v>1427551.3865173243</v>
      </c>
      <c r="Y269" s="156">
        <v>1552221.101974543</v>
      </c>
      <c r="Z269" s="156">
        <v>1687780.8562298962</v>
      </c>
      <c r="AA269" s="156">
        <v>1835182.1238672344</v>
      </c>
      <c r="AB269" s="156">
        <v>1995459.5298588225</v>
      </c>
      <c r="AC269" s="156">
        <v>2169738.1178289996</v>
      </c>
      <c r="AD269" s="156">
        <v>2359241.2537896489</v>
      </c>
      <c r="AE269" s="156">
        <v>2565299.2209201264</v>
      </c>
      <c r="AF269" s="156">
        <v>2644355.4863976799</v>
      </c>
      <c r="AG269" s="156">
        <v>2644355.4863976799</v>
      </c>
      <c r="AH269" s="156">
        <v>2644355.4863976799</v>
      </c>
      <c r="AI269" s="156">
        <v>2644355.4863976799</v>
      </c>
      <c r="AJ269" s="156">
        <v>2644355.4863976799</v>
      </c>
      <c r="AK269" s="156">
        <v>2644355.4863976799</v>
      </c>
      <c r="AL269" s="156">
        <v>2644355.4863976799</v>
      </c>
      <c r="AM269" s="156">
        <v>2644355.4863976799</v>
      </c>
      <c r="AN269" s="156">
        <v>2644355.4863976799</v>
      </c>
      <c r="AO269" s="156">
        <v>2644355.4863976799</v>
      </c>
      <c r="AP269" s="156">
        <v>2644355.4863976799</v>
      </c>
      <c r="AQ269" s="156">
        <v>2644355.4863976799</v>
      </c>
      <c r="AR269" s="156">
        <v>2644355.4863976799</v>
      </c>
    </row>
    <row r="270" spans="1:44" x14ac:dyDescent="0.2">
      <c r="B270" s="154">
        <v>7</v>
      </c>
      <c r="C270" s="137" t="s">
        <v>231</v>
      </c>
      <c r="D270" s="155" t="s">
        <v>225</v>
      </c>
      <c r="G270" s="156">
        <v>0</v>
      </c>
      <c r="H270" s="156">
        <v>0</v>
      </c>
      <c r="I270" s="156">
        <v>0</v>
      </c>
      <c r="J270" s="156">
        <v>687.34845465000001</v>
      </c>
      <c r="K270" s="156">
        <v>756.95336144999999</v>
      </c>
      <c r="L270" s="156">
        <v>0</v>
      </c>
      <c r="M270" s="156">
        <v>756.95336144999999</v>
      </c>
      <c r="N270" s="156">
        <v>822.10304986979031</v>
      </c>
      <c r="O270" s="156">
        <v>892.86006116752515</v>
      </c>
      <c r="P270" s="156">
        <v>969.70700808656795</v>
      </c>
      <c r="Q270" s="156">
        <v>1053.1680410282913</v>
      </c>
      <c r="R270" s="156">
        <v>1143.8124231276586</v>
      </c>
      <c r="S270" s="156">
        <v>1242.2584130294745</v>
      </c>
      <c r="T270" s="156">
        <v>1349.1774818485899</v>
      </c>
      <c r="U270" s="156">
        <v>1465.298893076696</v>
      </c>
      <c r="V270" s="156">
        <v>1591.4146766739075</v>
      </c>
      <c r="W270" s="156">
        <v>1728.3850312719496</v>
      </c>
      <c r="X270" s="156">
        <v>1877.1441913357824</v>
      </c>
      <c r="Y270" s="156">
        <v>2038.7067993018527</v>
      </c>
      <c r="Z270" s="156">
        <v>2214.1748261554421</v>
      </c>
      <c r="AA270" s="156">
        <v>2404.7450876503431</v>
      </c>
      <c r="AB270" s="156">
        <v>2611.7174074367699</v>
      </c>
      <c r="AC270" s="156">
        <v>2836.5034827758218</v>
      </c>
      <c r="AD270" s="156">
        <v>3080.6365133108893</v>
      </c>
      <c r="AE270" s="156">
        <v>3345.781658571058</v>
      </c>
      <c r="AF270" s="156">
        <v>3633.7473955340379</v>
      </c>
      <c r="AG270" s="156">
        <v>3946.497853715211</v>
      </c>
      <c r="AH270" s="156">
        <v>4286.1662119168286</v>
      </c>
      <c r="AI270" s="156">
        <v>4655.0692480126108</v>
      </c>
      <c r="AJ270" s="156">
        <v>5055.7231410075774</v>
      </c>
      <c r="AK270" s="156">
        <v>5490.8606331542778</v>
      </c>
      <c r="AL270" s="156">
        <v>5963.44966918318</v>
      </c>
      <c r="AM270" s="156">
        <v>6476.7136397799322</v>
      </c>
      <c r="AN270" s="156">
        <v>7034.1533673842578</v>
      </c>
      <c r="AO270" s="156">
        <v>7639.5709842691977</v>
      </c>
      <c r="AP270" s="156">
        <v>8297.0958657659885</v>
      </c>
      <c r="AQ270" s="156">
        <v>9011.212795517531</v>
      </c>
      <c r="AR270" s="156">
        <v>9786.7925548673084</v>
      </c>
    </row>
    <row r="271" spans="1:44" x14ac:dyDescent="0.2">
      <c r="B271" s="154">
        <v>8</v>
      </c>
      <c r="C271" s="137" t="s">
        <v>232</v>
      </c>
      <c r="D271" s="155" t="s">
        <v>233</v>
      </c>
      <c r="G271" s="156">
        <v>0</v>
      </c>
      <c r="H271" s="156">
        <v>0</v>
      </c>
      <c r="I271" s="156">
        <v>0</v>
      </c>
      <c r="J271" s="156">
        <v>88172.45743184998</v>
      </c>
      <c r="K271" s="156">
        <v>95438.343794584798</v>
      </c>
      <c r="L271" s="156">
        <v>0</v>
      </c>
      <c r="M271" s="156">
        <v>103628.60796395919</v>
      </c>
      <c r="N271" s="156">
        <v>112549.48364952978</v>
      </c>
      <c r="O271" s="156">
        <v>122239.01304304718</v>
      </c>
      <c r="P271" s="156">
        <v>132762.73322646515</v>
      </c>
      <c r="Q271" s="156">
        <v>144192.46193931025</v>
      </c>
      <c r="R271" s="156">
        <v>156606.19995770184</v>
      </c>
      <c r="S271" s="156">
        <v>170088.66341799978</v>
      </c>
      <c r="T271" s="156">
        <v>184731.86197085411</v>
      </c>
      <c r="U271" s="156">
        <v>200635.72671146371</v>
      </c>
      <c r="V271" s="156">
        <v>217908.7921715694</v>
      </c>
      <c r="W271" s="156">
        <v>236668.93702767778</v>
      </c>
      <c r="X271" s="156">
        <v>257044.18858074772</v>
      </c>
      <c r="Y271" s="156">
        <v>279173.59649781481</v>
      </c>
      <c r="Z271" s="156">
        <v>303208.18177873502</v>
      </c>
      <c r="AA271" s="156">
        <v>329311.96742465091</v>
      </c>
      <c r="AB271" s="156">
        <v>357663.09784238768</v>
      </c>
      <c r="AC271" s="156">
        <v>388455.05462462391</v>
      </c>
      <c r="AD271" s="156">
        <v>421897.97700344201</v>
      </c>
      <c r="AE271" s="156">
        <v>458220.0959892688</v>
      </c>
      <c r="AF271" s="156">
        <v>497669.29198312457</v>
      </c>
      <c r="AG271" s="156">
        <v>540514.78649281745</v>
      </c>
      <c r="AH271" s="156">
        <v>587048.97949898185</v>
      </c>
      <c r="AI271" s="156">
        <v>637589.4450109466</v>
      </c>
      <c r="AJ271" s="156">
        <v>692481.09843206825</v>
      </c>
      <c r="AK271" s="156">
        <v>752098.55052679253</v>
      </c>
      <c r="AL271" s="156">
        <v>816848.66405528272</v>
      </c>
      <c r="AM271" s="156">
        <v>887173.33052469301</v>
      </c>
      <c r="AN271" s="156">
        <v>963552.48600848531</v>
      </c>
      <c r="AO271" s="156">
        <v>1046507.3866168772</v>
      </c>
      <c r="AP271" s="156">
        <v>1136604.1659736549</v>
      </c>
      <c r="AQ271" s="156">
        <v>1234457.698979351</v>
      </c>
      <c r="AR271" s="156">
        <v>1278069.6808799272</v>
      </c>
    </row>
    <row r="272" spans="1:44" x14ac:dyDescent="0.2">
      <c r="A272" s="204"/>
      <c r="B272" s="160"/>
      <c r="C272" s="203" t="s">
        <v>84</v>
      </c>
      <c r="D272" s="229"/>
      <c r="E272" s="203"/>
      <c r="F272" s="203"/>
      <c r="G272" s="170">
        <v>0</v>
      </c>
      <c r="H272" s="170">
        <v>0</v>
      </c>
      <c r="I272" s="170">
        <v>0</v>
      </c>
      <c r="J272" s="233">
        <v>320588.77204159996</v>
      </c>
      <c r="K272" s="233">
        <v>653404.06925298483</v>
      </c>
      <c r="L272" s="170">
        <v>0</v>
      </c>
      <c r="M272" s="170">
        <v>702102.86478211544</v>
      </c>
      <c r="N272" s="160">
        <v>763073.84476851509</v>
      </c>
      <c r="O272" s="160">
        <v>829557.43270588154</v>
      </c>
      <c r="P272" s="160">
        <v>901834.75068050006</v>
      </c>
      <c r="Q272" s="160">
        <v>980410.80697717541</v>
      </c>
      <c r="R272" s="160">
        <v>1065834.6385611126</v>
      </c>
      <c r="S272" s="160">
        <v>1158703.1505382962</v>
      </c>
      <c r="T272" s="160">
        <v>1259665.2905060784</v>
      </c>
      <c r="U272" s="160">
        <v>1369426.5870107966</v>
      </c>
      <c r="V272" s="160">
        <v>1488754.0838787716</v>
      </c>
      <c r="W272" s="160">
        <v>1618481.7049590978</v>
      </c>
      <c r="X272" s="160">
        <v>1759516.086830681</v>
      </c>
      <c r="Y272" s="160">
        <v>1912842.9203030751</v>
      </c>
      <c r="Z272" s="160">
        <v>2079533.845103824</v>
      </c>
      <c r="AA272" s="160">
        <v>2260753.946019216</v>
      </c>
      <c r="AB272" s="160">
        <v>2457769.9029676928</v>
      </c>
      <c r="AC272" s="160">
        <v>2671958.8520652545</v>
      </c>
      <c r="AD272" s="160">
        <v>2904818.0197220463</v>
      </c>
      <c r="AE272" s="160">
        <v>3157975.1972239525</v>
      </c>
      <c r="AF272" s="160">
        <v>3288197.0497126635</v>
      </c>
      <c r="AG272" s="160">
        <v>3343780.1197059527</v>
      </c>
      <c r="AH272" s="160">
        <v>3404162.0975258276</v>
      </c>
      <c r="AI272" s="160">
        <v>3469757.3447965118</v>
      </c>
      <c r="AJ272" s="160">
        <v>3541016.0043324782</v>
      </c>
      <c r="AK272" s="160">
        <v>3618427.0902139526</v>
      </c>
      <c r="AL272" s="160">
        <v>3702521.8447469217</v>
      </c>
      <c r="AM272" s="160">
        <v>3793877.3853601962</v>
      </c>
      <c r="AN272" s="160">
        <v>3893120.6664834199</v>
      </c>
      <c r="AO272" s="160">
        <v>4000932.7836134019</v>
      </c>
      <c r="AP272" s="160">
        <v>4118053.6491264231</v>
      </c>
      <c r="AQ272" s="160">
        <v>4245287.0719476128</v>
      </c>
      <c r="AR272" s="160">
        <v>4320840.1586111598</v>
      </c>
    </row>
    <row r="273" spans="1:44" x14ac:dyDescent="0.2">
      <c r="B273" s="154"/>
      <c r="D273" s="155"/>
      <c r="G273" s="154"/>
      <c r="H273" s="154"/>
      <c r="I273" s="154"/>
      <c r="J273" s="154"/>
      <c r="K273" s="154"/>
      <c r="L273" s="206"/>
      <c r="W273" s="172"/>
    </row>
    <row r="274" spans="1:44" x14ac:dyDescent="0.2">
      <c r="B274" s="234"/>
      <c r="C274" s="235" t="s">
        <v>264</v>
      </c>
      <c r="D274" s="236"/>
      <c r="E274" s="235"/>
      <c r="F274" s="235"/>
      <c r="G274" s="234"/>
      <c r="H274" s="234"/>
      <c r="I274" s="234"/>
      <c r="J274" s="234"/>
      <c r="K274" s="234"/>
      <c r="L274" s="237"/>
      <c r="M274" s="235"/>
      <c r="N274" s="235"/>
      <c r="O274" s="235"/>
      <c r="P274" s="235"/>
      <c r="Q274" s="235"/>
      <c r="R274" s="235"/>
      <c r="S274" s="235"/>
      <c r="T274" s="235"/>
      <c r="U274" s="235"/>
      <c r="V274" s="235"/>
      <c r="W274" s="235"/>
      <c r="X274" s="235"/>
      <c r="Y274" s="235"/>
      <c r="Z274" s="235"/>
      <c r="AA274" s="235"/>
      <c r="AB274" s="235"/>
      <c r="AC274" s="235"/>
      <c r="AD274" s="235"/>
      <c r="AE274" s="235"/>
      <c r="AF274" s="235"/>
      <c r="AG274" s="235"/>
      <c r="AH274" s="235"/>
      <c r="AI274" s="235"/>
      <c r="AJ274" s="235"/>
      <c r="AK274" s="235"/>
      <c r="AL274" s="235"/>
      <c r="AM274" s="235"/>
      <c r="AN274" s="235"/>
      <c r="AO274" s="235"/>
      <c r="AP274" s="235"/>
      <c r="AQ274" s="235"/>
      <c r="AR274" s="235"/>
    </row>
    <row r="275" spans="1:44" x14ac:dyDescent="0.2">
      <c r="B275" s="139"/>
      <c r="C275" s="140" t="s">
        <v>265</v>
      </c>
      <c r="D275" s="141"/>
      <c r="E275" s="140"/>
      <c r="F275" s="140"/>
      <c r="G275" s="142"/>
      <c r="H275" s="142"/>
      <c r="I275" s="139"/>
      <c r="J275" s="139"/>
      <c r="K275" s="139"/>
      <c r="L275" s="143"/>
      <c r="M275" s="143"/>
      <c r="N275" s="143"/>
      <c r="O275" s="143"/>
      <c r="P275" s="144"/>
      <c r="Q275" s="144"/>
      <c r="R275" s="144"/>
      <c r="S275" s="144"/>
      <c r="T275" s="144"/>
      <c r="U275" s="144"/>
      <c r="V275" s="144"/>
      <c r="W275" s="140"/>
      <c r="X275" s="144"/>
      <c r="Y275" s="144"/>
      <c r="Z275" s="144"/>
      <c r="AA275" s="144"/>
      <c r="AB275" s="144"/>
      <c r="AC275" s="144"/>
      <c r="AD275" s="144"/>
      <c r="AE275" s="144"/>
      <c r="AF275" s="144"/>
      <c r="AG275" s="144"/>
      <c r="AH275" s="144"/>
      <c r="AI275" s="144"/>
      <c r="AJ275" s="144"/>
      <c r="AK275" s="144"/>
      <c r="AL275" s="144"/>
      <c r="AM275" s="144"/>
      <c r="AN275" s="144"/>
      <c r="AO275" s="144"/>
      <c r="AP275" s="144"/>
      <c r="AQ275" s="144"/>
      <c r="AR275" s="144"/>
    </row>
    <row r="276" spans="1:44" x14ac:dyDescent="0.2">
      <c r="A276" s="145"/>
      <c r="B276" s="146"/>
      <c r="C276" s="146" t="s">
        <v>218</v>
      </c>
      <c r="D276" s="147" t="s">
        <v>219</v>
      </c>
      <c r="E276" s="146"/>
      <c r="F276" s="146"/>
      <c r="G276" s="148">
        <v>2019</v>
      </c>
      <c r="H276" s="148">
        <v>2020</v>
      </c>
      <c r="I276" s="148">
        <v>2021</v>
      </c>
      <c r="J276" s="148">
        <v>2022</v>
      </c>
      <c r="K276" s="148">
        <v>2023</v>
      </c>
      <c r="L276" s="149">
        <v>45352</v>
      </c>
      <c r="M276" s="148">
        <v>2024</v>
      </c>
      <c r="N276" s="146">
        <v>2025</v>
      </c>
      <c r="O276" s="146">
        <v>2026</v>
      </c>
      <c r="P276" s="146">
        <v>2027</v>
      </c>
      <c r="Q276" s="146">
        <v>2028</v>
      </c>
      <c r="R276" s="146">
        <v>2029</v>
      </c>
      <c r="S276" s="146">
        <v>2030</v>
      </c>
      <c r="T276" s="146">
        <v>2031</v>
      </c>
      <c r="U276" s="146">
        <v>2032</v>
      </c>
      <c r="V276" s="146">
        <v>2033</v>
      </c>
      <c r="W276" s="146">
        <v>2034</v>
      </c>
      <c r="X276" s="146">
        <v>2035</v>
      </c>
      <c r="Y276" s="146">
        <v>2036</v>
      </c>
      <c r="Z276" s="146">
        <v>2037</v>
      </c>
      <c r="AA276" s="146">
        <v>2038</v>
      </c>
      <c r="AB276" s="146">
        <v>2039</v>
      </c>
      <c r="AC276" s="146">
        <v>2040</v>
      </c>
      <c r="AD276" s="146">
        <v>2041</v>
      </c>
      <c r="AE276" s="146">
        <v>2042</v>
      </c>
      <c r="AF276" s="146">
        <v>2043</v>
      </c>
      <c r="AG276" s="146">
        <v>2044</v>
      </c>
      <c r="AH276" s="146">
        <v>2045</v>
      </c>
      <c r="AI276" s="146">
        <v>2046</v>
      </c>
      <c r="AJ276" s="146">
        <v>2047</v>
      </c>
      <c r="AK276" s="146">
        <v>2048</v>
      </c>
      <c r="AL276" s="146">
        <v>2049</v>
      </c>
      <c r="AM276" s="146">
        <v>2050</v>
      </c>
      <c r="AN276" s="146">
        <v>2051</v>
      </c>
      <c r="AO276" s="146">
        <v>2052</v>
      </c>
      <c r="AP276" s="146">
        <v>2053</v>
      </c>
      <c r="AQ276" s="146">
        <v>2054</v>
      </c>
      <c r="AR276" s="146">
        <v>2055</v>
      </c>
    </row>
    <row r="277" spans="1:44" x14ac:dyDescent="0.2">
      <c r="A277" s="184"/>
      <c r="B277" s="185"/>
      <c r="C277" s="185"/>
      <c r="D277" s="186"/>
      <c r="E277" s="185"/>
      <c r="F277" s="185"/>
      <c r="G277" s="187"/>
      <c r="H277" s="187"/>
      <c r="I277" s="187"/>
      <c r="J277" s="187"/>
      <c r="K277" s="188"/>
      <c r="L277" s="188"/>
      <c r="M277" s="188"/>
      <c r="N277" s="188"/>
      <c r="O277" s="185"/>
      <c r="P277" s="185"/>
      <c r="Q277" s="185"/>
      <c r="R277" s="185"/>
      <c r="S277" s="185"/>
      <c r="T277" s="185"/>
      <c r="U277" s="185"/>
      <c r="V277" s="185"/>
      <c r="W277" s="185"/>
      <c r="X277" s="185"/>
      <c r="Y277" s="185"/>
      <c r="Z277" s="185"/>
      <c r="AA277" s="185"/>
      <c r="AB277" s="185"/>
      <c r="AC277" s="185"/>
      <c r="AD277" s="185"/>
      <c r="AE277" s="185"/>
      <c r="AF277" s="185"/>
      <c r="AG277" s="185"/>
      <c r="AH277" s="185"/>
      <c r="AI277" s="185"/>
      <c r="AJ277" s="185"/>
      <c r="AK277" s="185"/>
      <c r="AL277" s="185"/>
      <c r="AM277" s="185"/>
      <c r="AN277" s="185"/>
      <c r="AO277" s="185"/>
      <c r="AP277" s="185"/>
      <c r="AQ277" s="185"/>
      <c r="AR277" s="185"/>
    </row>
    <row r="278" spans="1:44" x14ac:dyDescent="0.2">
      <c r="B278" s="198"/>
      <c r="C278" s="198"/>
      <c r="D278" s="199"/>
      <c r="E278" s="200"/>
      <c r="F278" s="198"/>
      <c r="G278" s="150"/>
      <c r="H278" s="150"/>
      <c r="I278" s="150"/>
      <c r="J278" s="150"/>
      <c r="K278" s="150"/>
      <c r="L278" s="150"/>
      <c r="M278" s="150"/>
      <c r="N278" s="198"/>
      <c r="O278" s="198"/>
      <c r="P278" s="198"/>
      <c r="Q278" s="198"/>
      <c r="R278" s="198"/>
      <c r="S278" s="198"/>
      <c r="T278" s="198"/>
      <c r="U278" s="198"/>
      <c r="V278" s="198"/>
      <c r="W278" s="198"/>
      <c r="X278" s="198"/>
      <c r="Y278" s="198"/>
      <c r="Z278" s="198"/>
      <c r="AA278" s="198"/>
      <c r="AB278" s="198"/>
      <c r="AC278" s="198"/>
      <c r="AD278" s="198"/>
      <c r="AE278" s="198"/>
      <c r="AF278" s="198"/>
      <c r="AG278" s="198"/>
      <c r="AH278" s="198"/>
      <c r="AI278" s="198"/>
      <c r="AJ278" s="198"/>
      <c r="AK278" s="198"/>
      <c r="AL278" s="198"/>
      <c r="AM278" s="198"/>
      <c r="AN278" s="198"/>
      <c r="AO278" s="198"/>
      <c r="AP278" s="198"/>
      <c r="AQ278" s="198"/>
      <c r="AR278" s="198"/>
    </row>
    <row r="279" spans="1:44" x14ac:dyDescent="0.2">
      <c r="B279" s="154">
        <v>1</v>
      </c>
      <c r="C279" s="137" t="s">
        <v>220</v>
      </c>
      <c r="D279" s="155" t="s">
        <v>221</v>
      </c>
      <c r="G279" s="238">
        <v>0</v>
      </c>
      <c r="H279" s="238">
        <v>0</v>
      </c>
      <c r="I279" s="238">
        <v>0</v>
      </c>
      <c r="J279" s="238">
        <v>0</v>
      </c>
      <c r="K279" s="238">
        <v>0.77764701369863021</v>
      </c>
      <c r="L279" s="238">
        <v>0.86234329670329679</v>
      </c>
      <c r="M279" s="238">
        <v>0.87532156331868105</v>
      </c>
      <c r="N279" s="238">
        <v>1.1967329403029763</v>
      </c>
      <c r="O279" s="238">
        <v>1.2219213769773813</v>
      </c>
      <c r="P279" s="238">
        <v>1.2476399714846098</v>
      </c>
      <c r="Q279" s="238">
        <v>1.2738998824103007</v>
      </c>
      <c r="R279" s="238">
        <v>1.3007125032022879</v>
      </c>
      <c r="S279" s="238">
        <v>1.3280894671139045</v>
      </c>
      <c r="T279" s="238">
        <v>1.3881016351975102</v>
      </c>
      <c r="U279" s="238">
        <v>1.4508255636009395</v>
      </c>
      <c r="V279" s="238">
        <v>1.5163837882076139</v>
      </c>
      <c r="W279" s="238">
        <v>1.5849043819104818</v>
      </c>
      <c r="X279" s="238">
        <v>1.640438474668185</v>
      </c>
      <c r="Y279" s="238">
        <v>1.6955476826229687</v>
      </c>
      <c r="Z279" s="238">
        <v>1.7525082399872565</v>
      </c>
      <c r="AA279" s="238">
        <v>1.7801531715348529</v>
      </c>
      <c r="AB279" s="238">
        <v>1.8038784138098563</v>
      </c>
      <c r="AC279" s="238">
        <v>1.8279198575949367</v>
      </c>
      <c r="AD279" s="238">
        <v>1.8502679504934194</v>
      </c>
      <c r="AE279" s="238">
        <v>1.8728892704998219</v>
      </c>
      <c r="AF279" s="238">
        <v>1.8957871580805019</v>
      </c>
      <c r="AG279" s="238">
        <v>1.9189649945422584</v>
      </c>
      <c r="AH279" s="238">
        <v>1.9424262025316454</v>
      </c>
      <c r="AI279" s="238">
        <v>1.9661742465403909</v>
      </c>
      <c r="AJ279" s="238">
        <v>1.9902126334169923</v>
      </c>
      <c r="AK279" s="238">
        <v>2.0145449128845709</v>
      </c>
      <c r="AL279" s="238">
        <v>2.039174678065057</v>
      </c>
      <c r="AM279" s="238">
        <v>2.0641055660097791</v>
      </c>
      <c r="AN279" s="238">
        <v>2.0893412582365456</v>
      </c>
      <c r="AO279" s="238">
        <v>2.1148854812732929</v>
      </c>
      <c r="AP279" s="238">
        <v>2.1407420072083707</v>
      </c>
      <c r="AQ279" s="238">
        <v>2.1669146542475706</v>
      </c>
      <c r="AR279" s="238">
        <v>2.1934072872779518</v>
      </c>
    </row>
    <row r="280" spans="1:44" x14ac:dyDescent="0.2">
      <c r="B280" s="154">
        <v>2</v>
      </c>
      <c r="C280" s="137" t="s">
        <v>222</v>
      </c>
      <c r="D280" s="155" t="s">
        <v>223</v>
      </c>
      <c r="G280" s="178">
        <v>0</v>
      </c>
      <c r="H280" s="178">
        <v>0</v>
      </c>
      <c r="I280" s="178">
        <v>0</v>
      </c>
      <c r="J280" s="178">
        <v>0</v>
      </c>
      <c r="K280" s="178">
        <v>1.649266168</v>
      </c>
      <c r="L280" s="178">
        <v>1.6657588296799999</v>
      </c>
      <c r="M280" s="178">
        <v>1.6657588296800001</v>
      </c>
      <c r="N280" s="178">
        <v>2.4313903508933672</v>
      </c>
      <c r="O280" s="178">
        <v>2.4825654458721447</v>
      </c>
      <c r="P280" s="178">
        <v>2.5348176572198029</v>
      </c>
      <c r="Q280" s="178">
        <v>2.5881696557232279</v>
      </c>
      <c r="R280" s="178">
        <v>2.6426445893364838</v>
      </c>
      <c r="S280" s="178">
        <v>2.6982660932240661</v>
      </c>
      <c r="T280" s="178">
        <v>2.8201922151688081</v>
      </c>
      <c r="U280" s="178">
        <v>2.9476277934454576</v>
      </c>
      <c r="V280" s="178">
        <v>3.0808217829833517</v>
      </c>
      <c r="W280" s="178">
        <v>3.2200343881987306</v>
      </c>
      <c r="X280" s="178">
        <v>3.3655375713235172</v>
      </c>
      <c r="Y280" s="178">
        <v>3.4624905961822847</v>
      </c>
      <c r="Z280" s="178">
        <v>3.5086374275802359</v>
      </c>
      <c r="AA280" s="178">
        <v>3.5553992873772282</v>
      </c>
      <c r="AB280" s="178">
        <v>3.6027843724509321</v>
      </c>
      <c r="AC280" s="178">
        <v>3.6508009889240514</v>
      </c>
      <c r="AD280" s="178">
        <v>3.695435571406072</v>
      </c>
      <c r="AE280" s="178">
        <v>3.7406158549436692</v>
      </c>
      <c r="AF280" s="178">
        <v>3.7863485112614379</v>
      </c>
      <c r="AG280" s="178">
        <v>3.8326402936522928</v>
      </c>
      <c r="AH280" s="178">
        <v>3.8794980379746842</v>
      </c>
      <c r="AI280" s="178">
        <v>3.9269286636620775</v>
      </c>
      <c r="AJ280" s="178">
        <v>3.9749391747447156</v>
      </c>
      <c r="AK280" s="178">
        <v>4.0235366608839005</v>
      </c>
      <c r="AL280" s="178">
        <v>4.0727282984189248</v>
      </c>
      <c r="AM280" s="178">
        <v>4.1225213514267862</v>
      </c>
      <c r="AN280" s="178">
        <v>4.1729231727948646</v>
      </c>
      <c r="AO280" s="178">
        <v>4.2239412053067253</v>
      </c>
      <c r="AP280" s="178">
        <v>4.2755829827411711</v>
      </c>
      <c r="AQ280" s="178">
        <v>4.3278561309847658</v>
      </c>
      <c r="AR280" s="178">
        <v>4.3807683691579298</v>
      </c>
    </row>
    <row r="281" spans="1:44" x14ac:dyDescent="0.2">
      <c r="B281" s="154">
        <v>3</v>
      </c>
      <c r="C281" s="137" t="s">
        <v>224</v>
      </c>
      <c r="D281" s="155" t="s">
        <v>225</v>
      </c>
      <c r="G281" s="178">
        <v>0</v>
      </c>
      <c r="H281" s="178">
        <v>0</v>
      </c>
      <c r="I281" s="178">
        <v>0</v>
      </c>
      <c r="J281" s="178">
        <v>0</v>
      </c>
      <c r="K281" s="178">
        <v>1.4348669999999999</v>
      </c>
      <c r="L281" s="178">
        <v>1.4348669999999997</v>
      </c>
      <c r="M281" s="178">
        <v>1.4348669999999999</v>
      </c>
      <c r="N281" s="178">
        <v>1.6419186253750002</v>
      </c>
      <c r="O281" s="178">
        <v>1.6673897422932564</v>
      </c>
      <c r="P281" s="178">
        <v>1.693260110053302</v>
      </c>
      <c r="Q281" s="178">
        <v>1.7195360291481978</v>
      </c>
      <c r="R281" s="178">
        <v>1.7462238999294357</v>
      </c>
      <c r="S281" s="178">
        <v>1.791063526435936</v>
      </c>
      <c r="T281" s="178">
        <v>1.8350100844210615</v>
      </c>
      <c r="U281" s="178">
        <v>1.8614235288855085</v>
      </c>
      <c r="V281" s="178">
        <v>1.8882199978145233</v>
      </c>
      <c r="W281" s="178">
        <v>1.9154050744273856</v>
      </c>
      <c r="X281" s="178">
        <v>1.9435713821797334</v>
      </c>
      <c r="Y281" s="178">
        <v>1.9690052639188669</v>
      </c>
      <c r="Z281" s="178">
        <v>1.9947734259036467</v>
      </c>
      <c r="AA281" s="178">
        <v>2.0208802763671807</v>
      </c>
      <c r="AB281" s="178">
        <v>2.0473302818245847</v>
      </c>
      <c r="AC281" s="178">
        <v>2.0741279678450519</v>
      </c>
      <c r="AD281" s="178">
        <v>2.099156221701354</v>
      </c>
      <c r="AE281" s="178">
        <v>2.1244871705128689</v>
      </c>
      <c r="AF281" s="178">
        <v>2.1501244820217709</v>
      </c>
      <c r="AG281" s="178">
        <v>2.1760718684819653</v>
      </c>
      <c r="AH281" s="178">
        <v>2.2023330871999902</v>
      </c>
      <c r="AI281" s="178">
        <v>2.2289119410824965</v>
      </c>
      <c r="AJ281" s="178">
        <v>2.2558122791903852</v>
      </c>
      <c r="AK281" s="178">
        <v>2.2830379972996879</v>
      </c>
      <c r="AL281" s="178">
        <v>2.3105930384692774</v>
      </c>
      <c r="AM281" s="178">
        <v>2.3384813936154667</v>
      </c>
      <c r="AN281" s="178">
        <v>2.3667071020936197</v>
      </c>
      <c r="AO281" s="178">
        <v>2.3952742522868271</v>
      </c>
      <c r="AP281" s="178">
        <v>2.4241869822017357</v>
      </c>
      <c r="AQ281" s="178">
        <v>2.4534494800716478</v>
      </c>
      <c r="AR281" s="178">
        <v>2.4830659849669368</v>
      </c>
    </row>
    <row r="282" spans="1:44" x14ac:dyDescent="0.2">
      <c r="B282" s="154">
        <v>4</v>
      </c>
      <c r="C282" s="137" t="s">
        <v>226</v>
      </c>
      <c r="D282" s="155" t="s">
        <v>227</v>
      </c>
      <c r="G282" s="178">
        <v>0</v>
      </c>
      <c r="H282" s="178">
        <v>0</v>
      </c>
      <c r="I282" s="178">
        <v>0</v>
      </c>
      <c r="J282" s="178">
        <v>0</v>
      </c>
      <c r="K282" s="178">
        <v>2.0874250568821395</v>
      </c>
      <c r="L282" s="178">
        <v>2.08742505688214</v>
      </c>
      <c r="M282" s="178">
        <v>2.0874250568821395</v>
      </c>
      <c r="N282" s="178">
        <v>3.8541002474451274</v>
      </c>
      <c r="O282" s="178">
        <v>3.9446578699557771</v>
      </c>
      <c r="P282" s="178">
        <v>4.0374801332621884</v>
      </c>
      <c r="Q282" s="178">
        <v>4.1326251927405249</v>
      </c>
      <c r="R282" s="178">
        <v>4.2301527130815124</v>
      </c>
      <c r="S282" s="178">
        <v>4.5016139633711143</v>
      </c>
      <c r="T282" s="178">
        <v>4.7857513391570583</v>
      </c>
      <c r="U282" s="178">
        <v>5.0879627172393125</v>
      </c>
      <c r="V282" s="178">
        <v>5.4094050243306713</v>
      </c>
      <c r="W282" s="178">
        <v>5.751309615195666</v>
      </c>
      <c r="X282" s="178">
        <v>5.9985111354744944</v>
      </c>
      <c r="Y282" s="178">
        <v>6.2490036267555364</v>
      </c>
      <c r="Z282" s="178">
        <v>6.510095304212407</v>
      </c>
      <c r="AA282" s="178">
        <v>6.7884502779782769</v>
      </c>
      <c r="AB282" s="178">
        <v>7.0790166831409236</v>
      </c>
      <c r="AC282" s="178">
        <v>7.382100561560847</v>
      </c>
      <c r="AD282" s="178">
        <v>7.6904173108871277</v>
      </c>
      <c r="AE282" s="178">
        <v>8.0116829019074149</v>
      </c>
      <c r="AF282" s="178">
        <v>8.3464433648985956</v>
      </c>
      <c r="AG282" s="178">
        <v>8.7005389480128308</v>
      </c>
      <c r="AH282" s="178">
        <v>9.0664979746835428</v>
      </c>
      <c r="AI282" s="178">
        <v>9.1773447047304089</v>
      </c>
      <c r="AJ282" s="178">
        <v>9.2895466435465721</v>
      </c>
      <c r="AK282" s="178">
        <v>9.4031203598734567</v>
      </c>
      <c r="AL282" s="178">
        <v>9.5180826250214245</v>
      </c>
      <c r="AM282" s="178">
        <v>9.6344504153463717</v>
      </c>
      <c r="AN282" s="178">
        <v>9.7522409147566016</v>
      </c>
      <c r="AO282" s="178">
        <v>9.8714715172503702</v>
      </c>
      <c r="AP282" s="178">
        <v>9.9921598294844216</v>
      </c>
      <c r="AQ282" s="178">
        <v>10.114323673373956</v>
      </c>
      <c r="AR282" s="178">
        <v>10.237981088724368</v>
      </c>
    </row>
    <row r="283" spans="1:44" x14ac:dyDescent="0.2">
      <c r="B283" s="154">
        <v>5</v>
      </c>
      <c r="C283" s="137" t="s">
        <v>228</v>
      </c>
      <c r="D283" s="155" t="s">
        <v>221</v>
      </c>
      <c r="G283" s="178">
        <v>0</v>
      </c>
      <c r="H283" s="178">
        <v>0</v>
      </c>
      <c r="I283" s="178">
        <v>0</v>
      </c>
      <c r="J283" s="178">
        <v>0</v>
      </c>
      <c r="K283" s="178">
        <v>0.92904109589041084</v>
      </c>
      <c r="L283" s="178">
        <v>0.93686789535031323</v>
      </c>
      <c r="M283" s="178">
        <v>0.94078129508026442</v>
      </c>
      <c r="N283" s="178">
        <v>3.3912523327534196</v>
      </c>
      <c r="O283" s="178">
        <v>3.4439410362037517</v>
      </c>
      <c r="P283" s="178">
        <v>3.4974710638123288</v>
      </c>
      <c r="Q283" s="178">
        <v>3.5518558496986645</v>
      </c>
      <c r="R283" s="178">
        <v>3.6071090424959822</v>
      </c>
      <c r="S283" s="178">
        <v>3.6632445087765415</v>
      </c>
      <c r="T283" s="178">
        <v>3.7159070332836159</v>
      </c>
      <c r="U283" s="178">
        <v>3.7693460407092814</v>
      </c>
      <c r="V283" s="178">
        <v>3.823572979910737</v>
      </c>
      <c r="W283" s="178">
        <v>3.8785994685529279</v>
      </c>
      <c r="X283" s="178">
        <v>3.9344372955975371</v>
      </c>
      <c r="Y283" s="178">
        <v>3.9856536037021875</v>
      </c>
      <c r="Z283" s="178">
        <v>4.0375525043711438</v>
      </c>
      <c r="AA283" s="178">
        <v>4.0901430949530058</v>
      </c>
      <c r="AB283" s="178">
        <v>4.1434345940425672</v>
      </c>
      <c r="AC283" s="178">
        <v>4.1974363430967481</v>
      </c>
      <c r="AD283" s="178">
        <v>4.2480059572511424</v>
      </c>
      <c r="AE283" s="178">
        <v>4.2999419496150884</v>
      </c>
      <c r="AF283" s="178">
        <v>4.3525129098510131</v>
      </c>
      <c r="AG283" s="178">
        <v>4.4057266010569167</v>
      </c>
      <c r="AH283" s="178">
        <v>4.4595908812421978</v>
      </c>
      <c r="AI283" s="178">
        <v>4.5141137044880475</v>
      </c>
      <c r="AJ283" s="178">
        <v>4.5693031221220064</v>
      </c>
      <c r="AK283" s="178">
        <v>4.6251672839069027</v>
      </c>
      <c r="AL283" s="178">
        <v>4.6817144392443222</v>
      </c>
      <c r="AM283" s="178">
        <v>4.7389529383927824</v>
      </c>
      <c r="AN283" s="178">
        <v>4.7968912337008076</v>
      </c>
      <c r="AO283" s="178">
        <v>4.8555378808550831</v>
      </c>
      <c r="AP283" s="178">
        <v>4.914901540143858</v>
      </c>
      <c r="AQ283" s="178">
        <v>4.9749909777358052</v>
      </c>
      <c r="AR283" s="178">
        <v>5.035815066974509</v>
      </c>
    </row>
    <row r="284" spans="1:44" x14ac:dyDescent="0.2">
      <c r="B284" s="154">
        <v>6</v>
      </c>
      <c r="C284" s="137" t="s">
        <v>229</v>
      </c>
      <c r="D284" s="155" t="s">
        <v>230</v>
      </c>
      <c r="G284" s="178">
        <v>0</v>
      </c>
      <c r="H284" s="178">
        <v>0</v>
      </c>
      <c r="I284" s="178">
        <v>0</v>
      </c>
      <c r="J284" s="178">
        <v>0</v>
      </c>
      <c r="K284" s="178">
        <v>3.7703719344211715</v>
      </c>
      <c r="L284" s="178">
        <v>2.9708253660023645</v>
      </c>
      <c r="M284" s="178">
        <v>2.8168522627147983</v>
      </c>
      <c r="N284" s="178">
        <v>3.8290199210117568</v>
      </c>
      <c r="O284" s="178">
        <v>3.9859164930591993</v>
      </c>
      <c r="P284" s="178">
        <v>4.1494719369408228</v>
      </c>
      <c r="Q284" s="178">
        <v>4.3199766819117</v>
      </c>
      <c r="R284" s="178">
        <v>4.4977340811211333</v>
      </c>
      <c r="S284" s="178">
        <v>4.7739942181202855</v>
      </c>
      <c r="T284" s="178">
        <v>5.063298788897769</v>
      </c>
      <c r="U284" s="178">
        <v>5.3703822820608158</v>
      </c>
      <c r="V284" s="178">
        <v>5.7053852161870475</v>
      </c>
      <c r="W284" s="178">
        <v>6.0424447283877569</v>
      </c>
      <c r="X284" s="178">
        <v>6.1265484050632919</v>
      </c>
      <c r="Y284" s="178">
        <v>6.203691088533172</v>
      </c>
      <c r="Z284" s="178">
        <v>6.2818619019889059</v>
      </c>
      <c r="AA284" s="178">
        <v>6.3610745479777755</v>
      </c>
      <c r="AB284" s="178">
        <v>6.4413429116696967</v>
      </c>
      <c r="AC284" s="178">
        <v>6.5226810632911398</v>
      </c>
      <c r="AD284" s="178">
        <v>6.5982901899674218</v>
      </c>
      <c r="AE284" s="178">
        <v>6.6748237115398554</v>
      </c>
      <c r="AF284" s="178">
        <v>6.7522929296324845</v>
      </c>
      <c r="AG284" s="178">
        <v>6.8307092840426691</v>
      </c>
      <c r="AH284" s="178">
        <v>6.9100843544303796</v>
      </c>
      <c r="AI284" s="178">
        <v>6.9904298620281686</v>
      </c>
      <c r="AJ284" s="178">
        <v>7.0717576713720192</v>
      </c>
      <c r="AK284" s="178">
        <v>7.1540797920533663</v>
      </c>
      <c r="AL284" s="178">
        <v>7.2374083804925569</v>
      </c>
      <c r="AM284" s="178">
        <v>7.3217557417339565</v>
      </c>
      <c r="AN284" s="178">
        <v>7.4071343312630349</v>
      </c>
      <c r="AO284" s="178">
        <v>7.4935567568456563</v>
      </c>
      <c r="AP284" s="178">
        <v>7.5835871265493768</v>
      </c>
      <c r="AQ284" s="178">
        <v>7.6763038334135665</v>
      </c>
      <c r="AR284" s="178">
        <v>7.7701540919319143</v>
      </c>
    </row>
    <row r="285" spans="1:44" x14ac:dyDescent="0.2">
      <c r="B285" s="154">
        <v>7</v>
      </c>
      <c r="C285" s="137" t="s">
        <v>231</v>
      </c>
      <c r="D285" s="155" t="s">
        <v>225</v>
      </c>
      <c r="G285" s="178">
        <v>0</v>
      </c>
      <c r="H285" s="178">
        <v>0</v>
      </c>
      <c r="I285" s="178">
        <v>0</v>
      </c>
      <c r="J285" s="178">
        <v>0</v>
      </c>
      <c r="K285" s="178">
        <v>0.62701156164383554</v>
      </c>
      <c r="L285" s="178">
        <v>0.77093942148760319</v>
      </c>
      <c r="M285" s="178">
        <v>0.77161264703031951</v>
      </c>
      <c r="N285" s="178">
        <v>0.78956456678338838</v>
      </c>
      <c r="O285" s="178">
        <v>0.80296491648947976</v>
      </c>
      <c r="P285" s="178">
        <v>0.81757745141920979</v>
      </c>
      <c r="Q285" s="178">
        <v>0.83250810608790415</v>
      </c>
      <c r="R285" s="178">
        <v>0.8477645554774611</v>
      </c>
      <c r="S285" s="178">
        <v>0.88045080078506166</v>
      </c>
      <c r="T285" s="178">
        <v>0.91387302887001909</v>
      </c>
      <c r="U285" s="178">
        <v>0.95151290187855919</v>
      </c>
      <c r="V285" s="178">
        <v>0.9903889570991935</v>
      </c>
      <c r="W285" s="178">
        <v>1.030898104240094</v>
      </c>
      <c r="X285" s="178">
        <v>1.0681154430379747</v>
      </c>
      <c r="Y285" s="178">
        <v>1.0805724617311769</v>
      </c>
      <c r="Z285" s="178">
        <v>1.0931955030966105</v>
      </c>
      <c r="AA285" s="178">
        <v>1.1059867798248386</v>
      </c>
      <c r="AB285" s="178">
        <v>1.1189485340963685</v>
      </c>
      <c r="AC285" s="178">
        <v>1.1341075281344806</v>
      </c>
      <c r="AD285" s="178">
        <v>1.1463425096481352</v>
      </c>
      <c r="AE285" s="178">
        <v>1.1587270756757626</v>
      </c>
      <c r="AF285" s="178">
        <v>1.1712630550331058</v>
      </c>
      <c r="AG285" s="178">
        <v>1.1839522988949558</v>
      </c>
      <c r="AH285" s="178">
        <v>1.1967966810685087</v>
      </c>
      <c r="AI285" s="178">
        <v>1.2108852041059859</v>
      </c>
      <c r="AJ285" s="178">
        <v>1.2249865068707351</v>
      </c>
      <c r="AK285" s="178">
        <v>1.2392602117366294</v>
      </c>
      <c r="AL285" s="178">
        <v>1.2544934755090462</v>
      </c>
      <c r="AM285" s="178">
        <v>1.2698308748018707</v>
      </c>
      <c r="AN285" s="178">
        <v>1.2853557886746112</v>
      </c>
      <c r="AO285" s="178">
        <v>1.3010705096748507</v>
      </c>
      <c r="AP285" s="178">
        <v>1.3169773583787916</v>
      </c>
      <c r="AQ285" s="178">
        <v>1.3330786837339255</v>
      </c>
      <c r="AR285" s="178">
        <v>1.3493768634059118</v>
      </c>
    </row>
    <row r="286" spans="1:44" x14ac:dyDescent="0.2">
      <c r="B286" s="154">
        <v>8</v>
      </c>
      <c r="C286" s="137" t="s">
        <v>232</v>
      </c>
      <c r="D286" s="155" t="s">
        <v>233</v>
      </c>
      <c r="G286" s="178">
        <v>0</v>
      </c>
      <c r="H286" s="178">
        <v>0</v>
      </c>
      <c r="I286" s="178">
        <v>0</v>
      </c>
      <c r="J286" s="178">
        <v>0</v>
      </c>
      <c r="K286" s="178">
        <v>3.6444849315068493</v>
      </c>
      <c r="L286" s="178">
        <v>4.8429340659340658</v>
      </c>
      <c r="M286" s="178">
        <v>4.8562777795650174</v>
      </c>
      <c r="N286" s="178">
        <v>21.177724505475577</v>
      </c>
      <c r="O286" s="178">
        <v>21.515886769420398</v>
      </c>
      <c r="P286" s="178">
        <v>21.85944875025768</v>
      </c>
      <c r="Q286" s="178">
        <v>22.208496669738434</v>
      </c>
      <c r="R286" s="178">
        <v>22.563118126387753</v>
      </c>
      <c r="S286" s="178">
        <v>22.923402117488916</v>
      </c>
      <c r="T286" s="178">
        <v>23.261396361912663</v>
      </c>
      <c r="U286" s="178">
        <v>23.604374164565584</v>
      </c>
      <c r="V286" s="178">
        <v>23.952409005552866</v>
      </c>
      <c r="W286" s="178">
        <v>24.305575448407513</v>
      </c>
      <c r="X286" s="178">
        <v>24.663949156065037</v>
      </c>
      <c r="Y286" s="178">
        <v>24.99266141439362</v>
      </c>
      <c r="Z286" s="178">
        <v>25.325754631671309</v>
      </c>
      <c r="AA286" s="178">
        <v>25.663287195745916</v>
      </c>
      <c r="AB286" s="178">
        <v>26.005318272637517</v>
      </c>
      <c r="AC286" s="178">
        <v>26.351907816909677</v>
      </c>
      <c r="AD286" s="178">
        <v>26.674085444937308</v>
      </c>
      <c r="AE286" s="178">
        <v>27.00020200690183</v>
      </c>
      <c r="AF286" s="178">
        <v>27.33030566009041</v>
      </c>
      <c r="AG286" s="178">
        <v>27.664445150559793</v>
      </c>
      <c r="AH286" s="178">
        <v>28.002669820334493</v>
      </c>
      <c r="AI286" s="178">
        <v>28.345029614693189</v>
      </c>
      <c r="AJ286" s="178">
        <v>28.691575089543964</v>
      </c>
      <c r="AK286" s="178">
        <v>29.042357418889946</v>
      </c>
      <c r="AL286" s="178">
        <v>29.397428402386044</v>
      </c>
      <c r="AM286" s="178">
        <v>29.756840472988216</v>
      </c>
      <c r="AN286" s="178">
        <v>30.120646704696121</v>
      </c>
      <c r="AO286" s="178">
        <v>30.488900820390565</v>
      </c>
      <c r="AP286" s="178">
        <v>30.86165719976664</v>
      </c>
      <c r="AQ286" s="178">
        <v>31.238970887363966</v>
      </c>
      <c r="AR286" s="178">
        <v>31.620897600695024</v>
      </c>
    </row>
    <row r="287" spans="1:44" x14ac:dyDescent="0.2">
      <c r="B287" s="157"/>
      <c r="C287" s="158" t="s">
        <v>84</v>
      </c>
      <c r="D287" s="159"/>
      <c r="E287" s="193"/>
      <c r="F287" s="158"/>
      <c r="G287" s="183">
        <v>0</v>
      </c>
      <c r="H287" s="183">
        <v>0</v>
      </c>
      <c r="I287" s="183">
        <v>0</v>
      </c>
      <c r="J287" s="183">
        <v>0</v>
      </c>
      <c r="K287" s="183">
        <v>14.920114762043037</v>
      </c>
      <c r="L287" s="183">
        <v>15.571960932039783</v>
      </c>
      <c r="M287" s="183">
        <v>15.448896434271221</v>
      </c>
      <c r="N287" s="180">
        <v>38.311703490040614</v>
      </c>
      <c r="O287" s="180">
        <v>39.065243650271384</v>
      </c>
      <c r="P287" s="180">
        <v>39.837167074449951</v>
      </c>
      <c r="Q287" s="180">
        <v>40.62706806745895</v>
      </c>
      <c r="R287" s="180">
        <v>41.43545951103205</v>
      </c>
      <c r="S287" s="180">
        <v>42.560124695315821</v>
      </c>
      <c r="T287" s="180">
        <v>43.783530486908504</v>
      </c>
      <c r="U287" s="180">
        <v>45.043454992385463</v>
      </c>
      <c r="V287" s="180">
        <v>46.366586752086</v>
      </c>
      <c r="W287" s="180">
        <v>47.729171209320555</v>
      </c>
      <c r="X287" s="180">
        <v>48.741108863409771</v>
      </c>
      <c r="Y287" s="180">
        <v>49.638625737839817</v>
      </c>
      <c r="Z287" s="180">
        <v>50.504378938811513</v>
      </c>
      <c r="AA287" s="180">
        <v>51.365374631759074</v>
      </c>
      <c r="AB287" s="180">
        <v>52.242054063672441</v>
      </c>
      <c r="AC287" s="180">
        <v>53.141082127356931</v>
      </c>
      <c r="AD287" s="180">
        <v>54.002001156291982</v>
      </c>
      <c r="AE287" s="180">
        <v>54.883369941596314</v>
      </c>
      <c r="AF287" s="180">
        <v>55.785078070869318</v>
      </c>
      <c r="AG287" s="180">
        <v>56.713049439243676</v>
      </c>
      <c r="AH287" s="180">
        <v>57.659897039465442</v>
      </c>
      <c r="AI287" s="180">
        <v>58.359817941330761</v>
      </c>
      <c r="AJ287" s="180">
        <v>59.068133120807389</v>
      </c>
      <c r="AK287" s="180">
        <v>59.785104637528462</v>
      </c>
      <c r="AL287" s="180">
        <v>60.51162333760665</v>
      </c>
      <c r="AM287" s="180">
        <v>61.246938754315224</v>
      </c>
      <c r="AN287" s="180">
        <v>61.991240506216201</v>
      </c>
      <c r="AO287" s="180">
        <v>62.744638423883373</v>
      </c>
      <c r="AP287" s="180">
        <v>63.509795026474364</v>
      </c>
      <c r="AQ287" s="180">
        <v>64.28588832092521</v>
      </c>
      <c r="AR287" s="180">
        <v>65.071466353134554</v>
      </c>
    </row>
    <row r="288" spans="1:44" x14ac:dyDescent="0.2">
      <c r="B288" s="171"/>
      <c r="C288" s="172"/>
      <c r="D288" s="173"/>
      <c r="E288" s="172"/>
      <c r="F288" s="172"/>
      <c r="G288" s="171"/>
      <c r="H288" s="171"/>
      <c r="I288" s="174"/>
      <c r="J288" s="174"/>
      <c r="K288" s="174"/>
      <c r="L288" s="175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  <c r="Z288" s="176"/>
      <c r="AA288" s="176"/>
      <c r="AB288" s="176"/>
      <c r="AC288" s="176"/>
      <c r="AD288" s="176"/>
      <c r="AE288" s="176"/>
      <c r="AF288" s="176"/>
      <c r="AG288" s="176"/>
      <c r="AH288" s="176"/>
      <c r="AI288" s="176"/>
      <c r="AJ288" s="176"/>
      <c r="AK288" s="176"/>
      <c r="AL288" s="176"/>
      <c r="AM288" s="176"/>
      <c r="AN288" s="176"/>
      <c r="AO288" s="176"/>
      <c r="AP288" s="176"/>
      <c r="AQ288" s="176"/>
      <c r="AR288" s="176"/>
    </row>
    <row r="289" spans="1:44" x14ac:dyDescent="0.2">
      <c r="B289" s="139"/>
      <c r="C289" s="140" t="s">
        <v>266</v>
      </c>
      <c r="D289" s="141"/>
      <c r="E289" s="140"/>
      <c r="F289" s="140"/>
      <c r="G289" s="142"/>
      <c r="H289" s="142"/>
      <c r="I289" s="139"/>
      <c r="J289" s="139"/>
      <c r="K289" s="139"/>
      <c r="L289" s="139"/>
      <c r="M289" s="139"/>
      <c r="N289" s="139"/>
      <c r="O289" s="139"/>
      <c r="P289" s="144"/>
      <c r="Q289" s="144"/>
      <c r="R289" s="144"/>
      <c r="S289" s="144"/>
      <c r="T289" s="144"/>
      <c r="U289" s="144"/>
      <c r="V289" s="144"/>
      <c r="W289" s="140"/>
      <c r="X289" s="144"/>
      <c r="Y289" s="144"/>
      <c r="Z289" s="144"/>
      <c r="AA289" s="144"/>
      <c r="AB289" s="144"/>
      <c r="AC289" s="144"/>
      <c r="AD289" s="144"/>
      <c r="AE289" s="144"/>
      <c r="AF289" s="144"/>
      <c r="AG289" s="144"/>
      <c r="AH289" s="144"/>
      <c r="AI289" s="144"/>
      <c r="AJ289" s="144"/>
      <c r="AK289" s="144"/>
      <c r="AL289" s="144"/>
      <c r="AM289" s="144"/>
      <c r="AN289" s="144"/>
      <c r="AO289" s="144"/>
      <c r="AP289" s="144"/>
      <c r="AQ289" s="144"/>
      <c r="AR289" s="144"/>
    </row>
    <row r="290" spans="1:44" x14ac:dyDescent="0.2">
      <c r="A290" s="145"/>
      <c r="B290" s="146"/>
      <c r="C290" s="146" t="s">
        <v>218</v>
      </c>
      <c r="D290" s="147" t="s">
        <v>219</v>
      </c>
      <c r="E290" s="146"/>
      <c r="F290" s="146"/>
      <c r="G290" s="148">
        <v>2019</v>
      </c>
      <c r="H290" s="148">
        <v>2020</v>
      </c>
      <c r="I290" s="148">
        <v>2021</v>
      </c>
      <c r="J290" s="148">
        <v>2022</v>
      </c>
      <c r="K290" s="148">
        <v>2023</v>
      </c>
      <c r="L290" s="149">
        <v>45352</v>
      </c>
      <c r="M290" s="148">
        <v>2024</v>
      </c>
      <c r="N290" s="146">
        <v>2025</v>
      </c>
      <c r="O290" s="146">
        <v>2026</v>
      </c>
      <c r="P290" s="146">
        <v>2027</v>
      </c>
      <c r="Q290" s="146">
        <v>2028</v>
      </c>
      <c r="R290" s="146">
        <v>2029</v>
      </c>
      <c r="S290" s="146">
        <v>2030</v>
      </c>
      <c r="T290" s="146">
        <v>2031</v>
      </c>
      <c r="U290" s="146">
        <v>2032</v>
      </c>
      <c r="V290" s="146">
        <v>2033</v>
      </c>
      <c r="W290" s="146">
        <v>2034</v>
      </c>
      <c r="X290" s="146">
        <v>2035</v>
      </c>
      <c r="Y290" s="146">
        <v>2036</v>
      </c>
      <c r="Z290" s="146">
        <v>2037</v>
      </c>
      <c r="AA290" s="146">
        <v>2038</v>
      </c>
      <c r="AB290" s="146">
        <v>2039</v>
      </c>
      <c r="AC290" s="146">
        <v>2040</v>
      </c>
      <c r="AD290" s="146">
        <v>2041</v>
      </c>
      <c r="AE290" s="146">
        <v>2042</v>
      </c>
      <c r="AF290" s="146">
        <v>2043</v>
      </c>
      <c r="AG290" s="146">
        <v>2044</v>
      </c>
      <c r="AH290" s="146">
        <v>2045</v>
      </c>
      <c r="AI290" s="146">
        <v>2046</v>
      </c>
      <c r="AJ290" s="146">
        <v>2047</v>
      </c>
      <c r="AK290" s="146">
        <v>2048</v>
      </c>
      <c r="AL290" s="146">
        <v>2049</v>
      </c>
      <c r="AM290" s="146">
        <v>2050</v>
      </c>
      <c r="AN290" s="146">
        <v>2051</v>
      </c>
      <c r="AO290" s="146">
        <v>2052</v>
      </c>
      <c r="AP290" s="146">
        <v>2053</v>
      </c>
      <c r="AQ290" s="146">
        <v>2054</v>
      </c>
      <c r="AR290" s="146">
        <v>2055</v>
      </c>
    </row>
    <row r="291" spans="1:44" x14ac:dyDescent="0.2">
      <c r="A291" s="184"/>
      <c r="B291" s="185"/>
      <c r="C291" s="185"/>
      <c r="D291" s="186"/>
      <c r="E291" s="185"/>
      <c r="F291" s="185"/>
      <c r="G291" s="187"/>
      <c r="H291" s="187"/>
      <c r="I291" s="187"/>
      <c r="J291" s="187"/>
      <c r="K291" s="188"/>
      <c r="L291" s="188"/>
      <c r="M291" s="188"/>
      <c r="N291" s="188"/>
      <c r="O291" s="185"/>
      <c r="P291" s="185"/>
      <c r="Q291" s="185"/>
      <c r="R291" s="185"/>
      <c r="S291" s="185"/>
      <c r="T291" s="185"/>
      <c r="U291" s="185"/>
      <c r="V291" s="185"/>
      <c r="W291" s="185"/>
      <c r="X291" s="185"/>
      <c r="Y291" s="185"/>
      <c r="Z291" s="185"/>
      <c r="AA291" s="185"/>
      <c r="AB291" s="185"/>
      <c r="AC291" s="185"/>
      <c r="AD291" s="185"/>
      <c r="AE291" s="185"/>
      <c r="AF291" s="185"/>
      <c r="AG291" s="185"/>
      <c r="AH291" s="185"/>
      <c r="AI291" s="185"/>
      <c r="AJ291" s="185"/>
      <c r="AK291" s="185"/>
      <c r="AL291" s="185"/>
      <c r="AM291" s="185"/>
      <c r="AN291" s="185"/>
      <c r="AO291" s="185"/>
      <c r="AP291" s="185"/>
      <c r="AQ291" s="185"/>
      <c r="AR291" s="185"/>
    </row>
    <row r="292" spans="1:44" x14ac:dyDescent="0.2">
      <c r="B292" s="198"/>
      <c r="C292" s="198"/>
      <c r="D292" s="199"/>
      <c r="E292" s="200"/>
      <c r="F292" s="198"/>
      <c r="G292" s="150"/>
      <c r="H292" s="150"/>
      <c r="I292" s="150"/>
      <c r="J292" s="150"/>
      <c r="K292" s="150"/>
      <c r="L292" s="150"/>
      <c r="M292" s="150"/>
      <c r="N292" s="198"/>
      <c r="O292" s="198"/>
      <c r="P292" s="198"/>
      <c r="Q292" s="198"/>
      <c r="R292" s="198"/>
      <c r="S292" s="198"/>
      <c r="T292" s="198"/>
      <c r="U292" s="198"/>
      <c r="V292" s="198"/>
      <c r="W292" s="198"/>
      <c r="X292" s="198"/>
      <c r="Y292" s="198"/>
      <c r="Z292" s="198"/>
      <c r="AA292" s="198"/>
      <c r="AB292" s="198"/>
      <c r="AC292" s="198"/>
      <c r="AD292" s="198"/>
      <c r="AE292" s="198"/>
      <c r="AF292" s="198"/>
      <c r="AG292" s="198"/>
      <c r="AH292" s="198"/>
      <c r="AI292" s="198"/>
      <c r="AJ292" s="198"/>
      <c r="AK292" s="198"/>
      <c r="AL292" s="198"/>
      <c r="AM292" s="198"/>
      <c r="AN292" s="198"/>
      <c r="AO292" s="198"/>
      <c r="AP292" s="198"/>
      <c r="AQ292" s="198"/>
      <c r="AR292" s="198"/>
    </row>
    <row r="293" spans="1:44" x14ac:dyDescent="0.2">
      <c r="B293" s="154">
        <v>1</v>
      </c>
      <c r="C293" s="137" t="s">
        <v>220</v>
      </c>
      <c r="D293" s="155" t="s">
        <v>221</v>
      </c>
      <c r="G293" s="238">
        <v>0</v>
      </c>
      <c r="H293" s="238">
        <v>0</v>
      </c>
      <c r="I293" s="238">
        <v>0</v>
      </c>
      <c r="J293" s="238">
        <v>0</v>
      </c>
      <c r="K293" s="238">
        <v>5.0716109589041082E-2</v>
      </c>
      <c r="L293" s="238">
        <v>5.6239780219780225E-2</v>
      </c>
      <c r="M293" s="238">
        <v>5.6802178021978011E-2</v>
      </c>
      <c r="N293" s="238">
        <v>5.7086188912087901E-2</v>
      </c>
      <c r="O293" s="238">
        <v>5.7371619856648341E-2</v>
      </c>
      <c r="P293" s="238">
        <v>5.7658477955931577E-2</v>
      </c>
      <c r="Q293" s="238">
        <v>5.7946770345711239E-2</v>
      </c>
      <c r="R293" s="238">
        <v>5.8236504197439795E-2</v>
      </c>
      <c r="S293" s="238">
        <v>5.940123428138859E-2</v>
      </c>
      <c r="T293" s="238">
        <v>6.3618721915367188E-2</v>
      </c>
      <c r="U293" s="238">
        <v>6.8135651171358266E-2</v>
      </c>
      <c r="V293" s="238">
        <v>7.2973282404524692E-2</v>
      </c>
      <c r="W293" s="238">
        <v>7.8154385455245959E-2</v>
      </c>
      <c r="X293" s="238">
        <v>8.2499769286557639E-2</v>
      </c>
      <c r="Y293" s="238">
        <v>8.7086756458890247E-2</v>
      </c>
      <c r="Z293" s="238">
        <v>9.1928780118004524E-2</v>
      </c>
      <c r="AA293" s="238">
        <v>9.704002029256556E-2</v>
      </c>
      <c r="AB293" s="238">
        <v>0.10243544542083222</v>
      </c>
      <c r="AC293" s="238">
        <v>0.10528970641799532</v>
      </c>
      <c r="AD293" s="238">
        <v>0.10634260348217527</v>
      </c>
      <c r="AE293" s="238">
        <v>0.10740602951699699</v>
      </c>
      <c r="AF293" s="238">
        <v>0.10848008981216703</v>
      </c>
      <c r="AG293" s="238">
        <v>0.10956489071028867</v>
      </c>
      <c r="AH293" s="238">
        <v>0.11066053961739156</v>
      </c>
      <c r="AI293" s="238">
        <v>0.11176714501356547</v>
      </c>
      <c r="AJ293" s="238">
        <v>0.11288481646370112</v>
      </c>
      <c r="AK293" s="238">
        <v>0.11401366462833815</v>
      </c>
      <c r="AL293" s="238">
        <v>0.11515380127462149</v>
      </c>
      <c r="AM293" s="238">
        <v>0.11630533928736772</v>
      </c>
      <c r="AN293" s="238">
        <v>0.11746839268024145</v>
      </c>
      <c r="AO293" s="238">
        <v>0.11864307660704382</v>
      </c>
      <c r="AP293" s="238">
        <v>0.11982950737311429</v>
      </c>
      <c r="AQ293" s="238">
        <v>0.12102780244684538</v>
      </c>
      <c r="AR293" s="238">
        <v>0.12223808047131388</v>
      </c>
    </row>
    <row r="294" spans="1:44" x14ac:dyDescent="0.2">
      <c r="B294" s="154">
        <v>2</v>
      </c>
      <c r="C294" s="137" t="s">
        <v>222</v>
      </c>
      <c r="D294" s="155" t="s">
        <v>223</v>
      </c>
      <c r="G294" s="178">
        <v>0</v>
      </c>
      <c r="H294" s="178">
        <v>0</v>
      </c>
      <c r="I294" s="178">
        <v>0</v>
      </c>
      <c r="J294" s="178">
        <v>0</v>
      </c>
      <c r="K294" s="178">
        <v>0</v>
      </c>
      <c r="L294" s="178">
        <v>0</v>
      </c>
      <c r="M294" s="178">
        <v>0</v>
      </c>
      <c r="N294" s="178">
        <v>0</v>
      </c>
      <c r="O294" s="178">
        <v>0</v>
      </c>
      <c r="P294" s="178">
        <v>0</v>
      </c>
      <c r="Q294" s="178">
        <v>0</v>
      </c>
      <c r="R294" s="178">
        <v>0</v>
      </c>
      <c r="S294" s="178">
        <v>0</v>
      </c>
      <c r="T294" s="178">
        <v>0</v>
      </c>
      <c r="U294" s="178">
        <v>0</v>
      </c>
      <c r="V294" s="178">
        <v>0</v>
      </c>
      <c r="W294" s="178">
        <v>0</v>
      </c>
      <c r="X294" s="178">
        <v>0</v>
      </c>
      <c r="Y294" s="178">
        <v>0</v>
      </c>
      <c r="Z294" s="178">
        <v>0</v>
      </c>
      <c r="AA294" s="178">
        <v>0</v>
      </c>
      <c r="AB294" s="178">
        <v>0</v>
      </c>
      <c r="AC294" s="178">
        <v>0</v>
      </c>
      <c r="AD294" s="178">
        <v>0</v>
      </c>
      <c r="AE294" s="178">
        <v>0</v>
      </c>
      <c r="AF294" s="178">
        <v>0</v>
      </c>
      <c r="AG294" s="178">
        <v>0</v>
      </c>
      <c r="AH294" s="178">
        <v>0</v>
      </c>
      <c r="AI294" s="178">
        <v>0</v>
      </c>
      <c r="AJ294" s="178">
        <v>0</v>
      </c>
      <c r="AK294" s="178">
        <v>0</v>
      </c>
      <c r="AL294" s="178">
        <v>0</v>
      </c>
      <c r="AM294" s="178">
        <v>0</v>
      </c>
      <c r="AN294" s="178">
        <v>0</v>
      </c>
      <c r="AO294" s="178">
        <v>0</v>
      </c>
      <c r="AP294" s="178">
        <v>0</v>
      </c>
      <c r="AQ294" s="178">
        <v>0</v>
      </c>
      <c r="AR294" s="178">
        <v>0</v>
      </c>
    </row>
    <row r="295" spans="1:44" x14ac:dyDescent="0.2">
      <c r="B295" s="154">
        <v>3</v>
      </c>
      <c r="C295" s="137" t="s">
        <v>224</v>
      </c>
      <c r="D295" s="155" t="s">
        <v>225</v>
      </c>
      <c r="G295" s="178">
        <v>0</v>
      </c>
      <c r="H295" s="178">
        <v>0</v>
      </c>
      <c r="I295" s="178">
        <v>0</v>
      </c>
      <c r="J295" s="178">
        <v>0</v>
      </c>
      <c r="K295" s="178">
        <v>0.63125999999999982</v>
      </c>
      <c r="L295" s="178">
        <v>0.63125999999999982</v>
      </c>
      <c r="M295" s="178">
        <v>0.63125999999999982</v>
      </c>
      <c r="N295" s="178">
        <v>0.63441629999999993</v>
      </c>
      <c r="O295" s="178">
        <v>0.63758838149999975</v>
      </c>
      <c r="P295" s="178">
        <v>0.64077632340749979</v>
      </c>
      <c r="Q295" s="178">
        <v>0.64398020502453757</v>
      </c>
      <c r="R295" s="178">
        <v>0.64720010604966016</v>
      </c>
      <c r="S295" s="178">
        <v>0.70001163470331207</v>
      </c>
      <c r="T295" s="178">
        <v>0.72801210009144479</v>
      </c>
      <c r="U295" s="178">
        <v>0.75713258409510265</v>
      </c>
      <c r="V295" s="178">
        <v>0.78741788745890684</v>
      </c>
      <c r="W295" s="178">
        <v>0.81891460295726315</v>
      </c>
      <c r="X295" s="178">
        <v>0.82710374898683581</v>
      </c>
      <c r="Y295" s="178">
        <v>0.83537478647670405</v>
      </c>
      <c r="Z295" s="178">
        <v>0.8437285343414711</v>
      </c>
      <c r="AA295" s="178">
        <v>0.85216581968488569</v>
      </c>
      <c r="AB295" s="178">
        <v>0.86068747788173439</v>
      </c>
      <c r="AC295" s="178">
        <v>0.86929435266055188</v>
      </c>
      <c r="AD295" s="178">
        <v>0.87798729618715743</v>
      </c>
      <c r="AE295" s="178">
        <v>0.88676716914902887</v>
      </c>
      <c r="AF295" s="178">
        <v>0.89563484084051925</v>
      </c>
      <c r="AG295" s="178">
        <v>0.90459118924892434</v>
      </c>
      <c r="AH295" s="178">
        <v>0.9091141451951692</v>
      </c>
      <c r="AI295" s="178">
        <v>0.91365971592114492</v>
      </c>
      <c r="AJ295" s="178">
        <v>0.91822801450075042</v>
      </c>
      <c r="AK295" s="178">
        <v>0.92281915457325425</v>
      </c>
      <c r="AL295" s="178">
        <v>0.92743325034612067</v>
      </c>
      <c r="AM295" s="178">
        <v>0.93207041659785128</v>
      </c>
      <c r="AN295" s="178">
        <v>0.93673076868084015</v>
      </c>
      <c r="AO295" s="178">
        <v>0.94141442252424423</v>
      </c>
      <c r="AP295" s="178">
        <v>0.94612149463686568</v>
      </c>
      <c r="AQ295" s="178">
        <v>0.95085210211004989</v>
      </c>
      <c r="AR295" s="178">
        <v>0.95560636262060017</v>
      </c>
    </row>
    <row r="296" spans="1:44" x14ac:dyDescent="0.2">
      <c r="B296" s="154">
        <v>4</v>
      </c>
      <c r="C296" s="137" t="s">
        <v>226</v>
      </c>
      <c r="D296" s="155" t="s">
        <v>227</v>
      </c>
      <c r="G296" s="178">
        <v>0</v>
      </c>
      <c r="H296" s="178">
        <v>0</v>
      </c>
      <c r="I296" s="178">
        <v>0</v>
      </c>
      <c r="J296" s="178">
        <v>0</v>
      </c>
      <c r="K296" s="178">
        <v>3.6177745377331594E-2</v>
      </c>
      <c r="L296" s="178">
        <v>3.6177745377331594E-2</v>
      </c>
      <c r="M296" s="178">
        <v>3.6177745377331594E-2</v>
      </c>
      <c r="N296" s="178">
        <v>2.5133711757458381</v>
      </c>
      <c r="O296" s="178">
        <v>2.5260738148721358</v>
      </c>
      <c r="P296" s="178">
        <v>2.5388415584313506</v>
      </c>
      <c r="Q296" s="178">
        <v>2.5516747478580184</v>
      </c>
      <c r="R296" s="178">
        <v>2.5645737264529735</v>
      </c>
      <c r="S296" s="178">
        <v>2.5782011785539476</v>
      </c>
      <c r="T296" s="178">
        <v>2.5919216056339147</v>
      </c>
      <c r="U296" s="178">
        <v>2.6057362176993237</v>
      </c>
      <c r="V296" s="178">
        <v>2.6196462531606031</v>
      </c>
      <c r="W296" s="178">
        <v>2.6336529796448005</v>
      </c>
      <c r="X296" s="178">
        <v>2.6473737785242921</v>
      </c>
      <c r="Y296" s="178">
        <v>2.6611746988874243</v>
      </c>
      <c r="Z296" s="178">
        <v>2.6750563716913995</v>
      </c>
      <c r="AA296" s="178">
        <v>2.6890194356552044</v>
      </c>
      <c r="AB296" s="178">
        <v>2.7030645373905524</v>
      </c>
      <c r="AC296" s="178">
        <v>2.7167684569095232</v>
      </c>
      <c r="AD296" s="178">
        <v>2.7305430153992174</v>
      </c>
      <c r="AE296" s="178">
        <v>2.744388587248221</v>
      </c>
      <c r="AF296" s="178">
        <v>2.7583055489289978</v>
      </c>
      <c r="AG296" s="178">
        <v>2.7722942790104339</v>
      </c>
      <c r="AH296" s="178">
        <v>2.7863551581704531</v>
      </c>
      <c r="AI296" s="178">
        <v>2.8004885692087313</v>
      </c>
      <c r="AJ296" s="178">
        <v>2.8146948970594843</v>
      </c>
      <c r="AK296" s="178">
        <v>2.8289745288043466</v>
      </c>
      <c r="AL296" s="178">
        <v>2.8433278536853375</v>
      </c>
      <c r="AM296" s="178">
        <v>2.8577552631179124</v>
      </c>
      <c r="AN296" s="178">
        <v>2.8722571507041006</v>
      </c>
      <c r="AO296" s="178">
        <v>2.8868339122457352</v>
      </c>
      <c r="AP296" s="178">
        <v>2.9014859457577664</v>
      </c>
      <c r="AQ296" s="178">
        <v>2.9162136514816757</v>
      </c>
      <c r="AR296" s="178">
        <v>2.9310174318989644</v>
      </c>
    </row>
    <row r="297" spans="1:44" x14ac:dyDescent="0.2">
      <c r="B297" s="154">
        <v>5</v>
      </c>
      <c r="C297" s="137" t="s">
        <v>228</v>
      </c>
      <c r="D297" s="155" t="s">
        <v>221</v>
      </c>
      <c r="G297" s="178">
        <v>0</v>
      </c>
      <c r="H297" s="178">
        <v>0</v>
      </c>
      <c r="I297" s="178">
        <v>0</v>
      </c>
      <c r="J297" s="178">
        <v>0</v>
      </c>
      <c r="K297" s="178">
        <v>0.16104109589041093</v>
      </c>
      <c r="L297" s="178">
        <v>0.16118329153771271</v>
      </c>
      <c r="M297" s="178">
        <v>0.16118329153771271</v>
      </c>
      <c r="N297" s="178">
        <v>0.16279512445308986</v>
      </c>
      <c r="O297" s="178">
        <v>0.16442307569762074</v>
      </c>
      <c r="P297" s="178">
        <v>0.16606730645459694</v>
      </c>
      <c r="Q297" s="178">
        <v>0.16772797951914292</v>
      </c>
      <c r="R297" s="178">
        <v>0.1727598189047172</v>
      </c>
      <c r="S297" s="178">
        <v>0.17972203960657729</v>
      </c>
      <c r="T297" s="178">
        <v>0.1851137007947746</v>
      </c>
      <c r="U297" s="178">
        <v>0.19066711181861787</v>
      </c>
      <c r="V297" s="178">
        <v>0.19638712517317639</v>
      </c>
      <c r="W297" s="178">
        <v>0.20031486767663995</v>
      </c>
      <c r="X297" s="178">
        <v>0.20432116503017272</v>
      </c>
      <c r="Y297" s="178">
        <v>0.20840758833077616</v>
      </c>
      <c r="Z297" s="178">
        <v>0.21257574009739169</v>
      </c>
      <c r="AA297" s="178">
        <v>0.21682725489933952</v>
      </c>
      <c r="AB297" s="178">
        <v>0.21899552744833292</v>
      </c>
      <c r="AC297" s="178">
        <v>0.22118548272281624</v>
      </c>
      <c r="AD297" s="178">
        <v>0.2233973375500444</v>
      </c>
      <c r="AE297" s="178">
        <v>0.22563131092554486</v>
      </c>
      <c r="AF297" s="178">
        <v>0.22788762403480028</v>
      </c>
      <c r="AG297" s="178">
        <v>0.23016650027514832</v>
      </c>
      <c r="AH297" s="178">
        <v>0.23246816527789982</v>
      </c>
      <c r="AI297" s="178">
        <v>0.23479284693067884</v>
      </c>
      <c r="AJ297" s="178">
        <v>0.23714077539998557</v>
      </c>
      <c r="AK297" s="178">
        <v>0.23951218315398545</v>
      </c>
      <c r="AL297" s="178">
        <v>0.24190730498552529</v>
      </c>
      <c r="AM297" s="178">
        <v>0.24432637803538057</v>
      </c>
      <c r="AN297" s="178">
        <v>0.24676964181573435</v>
      </c>
      <c r="AO297" s="178">
        <v>0.24923733823389171</v>
      </c>
      <c r="AP297" s="178">
        <v>0.25172971161623064</v>
      </c>
      <c r="AQ297" s="178">
        <v>0.25424700873239292</v>
      </c>
      <c r="AR297" s="178">
        <v>0.25678947881971687</v>
      </c>
    </row>
    <row r="298" spans="1:44" x14ac:dyDescent="0.2">
      <c r="B298" s="154">
        <v>6</v>
      </c>
      <c r="C298" s="137" t="s">
        <v>229</v>
      </c>
      <c r="D298" s="155" t="s">
        <v>230</v>
      </c>
      <c r="G298" s="178">
        <v>0</v>
      </c>
      <c r="H298" s="178">
        <v>0</v>
      </c>
      <c r="I298" s="178">
        <v>0</v>
      </c>
      <c r="J298" s="178">
        <v>0</v>
      </c>
      <c r="K298" s="178">
        <v>0.26370751763362266</v>
      </c>
      <c r="L298" s="178">
        <v>0.2095812274042288</v>
      </c>
      <c r="M298" s="178">
        <v>0.2095812274042288</v>
      </c>
      <c r="N298" s="178">
        <v>5.7434798377033189</v>
      </c>
      <c r="O298" s="178">
        <v>5.8948576209999111</v>
      </c>
      <c r="P298" s="178">
        <v>6.0360492328589981</v>
      </c>
      <c r="Q298" s="178">
        <v>6.1794202998650558</v>
      </c>
      <c r="R298" s="178">
        <v>6.3251154686700595</v>
      </c>
      <c r="S298" s="178">
        <v>6.4964444926463116</v>
      </c>
      <c r="T298" s="178">
        <v>6.6747229656353566</v>
      </c>
      <c r="U298" s="178">
        <v>6.8856447133820167</v>
      </c>
      <c r="V298" s="178">
        <v>7.0928686940443715</v>
      </c>
      <c r="W298" s="178">
        <v>7.309785601493453</v>
      </c>
      <c r="X298" s="178">
        <v>7.4878212571711904</v>
      </c>
      <c r="Y298" s="178">
        <v>7.6943864985416539</v>
      </c>
      <c r="Z298" s="178">
        <v>7.8792250711207679</v>
      </c>
      <c r="AA298" s="178">
        <v>8.0931087565507323</v>
      </c>
      <c r="AB298" s="178">
        <v>8.2982689191215329</v>
      </c>
      <c r="AC298" s="178">
        <v>8.4745443803744589</v>
      </c>
      <c r="AD298" s="178">
        <v>8.6509092784008157</v>
      </c>
      <c r="AE298" s="178">
        <v>8.8146351960576528</v>
      </c>
      <c r="AF298" s="178">
        <v>8.9911813804980927</v>
      </c>
      <c r="AG298" s="178">
        <v>9.1423609919343001</v>
      </c>
      <c r="AH298" s="178">
        <v>9.3572793874181777</v>
      </c>
      <c r="AI298" s="178">
        <v>9.5468328669852571</v>
      </c>
      <c r="AJ298" s="178">
        <v>9.7364807087471199</v>
      </c>
      <c r="AK298" s="178">
        <v>9.938952979829736</v>
      </c>
      <c r="AL298" s="178">
        <v>10.141521317536576</v>
      </c>
      <c r="AM298" s="178">
        <v>10.344186586167636</v>
      </c>
      <c r="AN298" s="178">
        <v>10.572408096011642</v>
      </c>
      <c r="AO298" s="178">
        <v>10.787999071028786</v>
      </c>
      <c r="AP298" s="178">
        <v>11.003689619154731</v>
      </c>
      <c r="AQ298" s="178">
        <v>11.244939075640062</v>
      </c>
      <c r="AR298" s="178">
        <v>11.47356068964913</v>
      </c>
    </row>
    <row r="299" spans="1:44" x14ac:dyDescent="0.2">
      <c r="B299" s="154">
        <v>7</v>
      </c>
      <c r="C299" s="137" t="s">
        <v>231</v>
      </c>
      <c r="D299" s="155" t="s">
        <v>225</v>
      </c>
      <c r="G299" s="178">
        <v>0</v>
      </c>
      <c r="H299" s="178">
        <v>0</v>
      </c>
      <c r="I299" s="178">
        <v>0</v>
      </c>
      <c r="J299" s="178">
        <v>0</v>
      </c>
      <c r="K299" s="178">
        <v>8.968290410958904E-2</v>
      </c>
      <c r="L299" s="178">
        <v>0.11390900826446282</v>
      </c>
      <c r="M299" s="178">
        <v>0.11542779504132231</v>
      </c>
      <c r="N299" s="178">
        <v>0.1177478937216529</v>
      </c>
      <c r="O299" s="178">
        <v>0.12011462638545811</v>
      </c>
      <c r="P299" s="178">
        <v>0.12252893037580581</v>
      </c>
      <c r="Q299" s="178">
        <v>0.12499176187635953</v>
      </c>
      <c r="R299" s="178">
        <v>0.12750409629007436</v>
      </c>
      <c r="S299" s="178">
        <v>0.13658238794592761</v>
      </c>
      <c r="T299" s="178">
        <v>0.14630705396767774</v>
      </c>
      <c r="U299" s="178">
        <v>0.15672411621017635</v>
      </c>
      <c r="V299" s="178">
        <v>0.1678828732843409</v>
      </c>
      <c r="W299" s="178">
        <v>0.179836133862186</v>
      </c>
      <c r="X299" s="178">
        <v>0.18710151367021832</v>
      </c>
      <c r="Y299" s="178">
        <v>0.19084354394362266</v>
      </c>
      <c r="Z299" s="178">
        <v>0.19466041482249516</v>
      </c>
      <c r="AA299" s="178">
        <v>0.19855362311894503</v>
      </c>
      <c r="AB299" s="178">
        <v>0.20252469558132394</v>
      </c>
      <c r="AC299" s="178">
        <v>0.20454994253713721</v>
      </c>
      <c r="AD299" s="178">
        <v>0.20659544196250854</v>
      </c>
      <c r="AE299" s="178">
        <v>0.2086613963821336</v>
      </c>
      <c r="AF299" s="178">
        <v>0.210748010345955</v>
      </c>
      <c r="AG299" s="178">
        <v>0.21285549044941454</v>
      </c>
      <c r="AH299" s="178">
        <v>0.21498404535390866</v>
      </c>
      <c r="AI299" s="178">
        <v>0.21713388580744775</v>
      </c>
      <c r="AJ299" s="178">
        <v>0.21930522466552224</v>
      </c>
      <c r="AK299" s="178">
        <v>0.22149827691217744</v>
      </c>
      <c r="AL299" s="178">
        <v>0.22371325968129924</v>
      </c>
      <c r="AM299" s="178">
        <v>0.2259503922781122</v>
      </c>
      <c r="AN299" s="178">
        <v>0.22820989620089335</v>
      </c>
      <c r="AO299" s="178">
        <v>0.23049199516290231</v>
      </c>
      <c r="AP299" s="178">
        <v>0.23279691511453129</v>
      </c>
      <c r="AQ299" s="178">
        <v>0.23512488426567663</v>
      </c>
      <c r="AR299" s="178">
        <v>0.2374761331083334</v>
      </c>
    </row>
    <row r="300" spans="1:44" x14ac:dyDescent="0.2">
      <c r="B300" s="154">
        <v>8</v>
      </c>
      <c r="C300" s="137" t="s">
        <v>232</v>
      </c>
      <c r="D300" s="155" t="s">
        <v>233</v>
      </c>
      <c r="G300" s="178">
        <v>0</v>
      </c>
      <c r="H300" s="178">
        <v>0</v>
      </c>
      <c r="I300" s="178">
        <v>0</v>
      </c>
      <c r="J300" s="178">
        <v>0</v>
      </c>
      <c r="K300" s="178">
        <v>0.11201369863013698</v>
      </c>
      <c r="L300" s="178">
        <v>0.10761538461538461</v>
      </c>
      <c r="M300" s="178">
        <v>0.10761538461538461</v>
      </c>
      <c r="N300" s="178">
        <v>5.079132033264032</v>
      </c>
      <c r="O300" s="178">
        <v>5.1008273587900197</v>
      </c>
      <c r="P300" s="178">
        <v>5.1230233009693897</v>
      </c>
      <c r="Q300" s="178">
        <v>5.1457345324138686</v>
      </c>
      <c r="R300" s="178">
        <v>5.1689761636111848</v>
      </c>
      <c r="S300" s="178">
        <v>5.1950258530550304</v>
      </c>
      <c r="T300" s="178">
        <v>5.221728013586727</v>
      </c>
      <c r="U300" s="178">
        <v>5.2491020903193126</v>
      </c>
      <c r="V300" s="178">
        <v>5.2771681115902043</v>
      </c>
      <c r="W300" s="178">
        <v>5.3059467064577825</v>
      </c>
      <c r="X300" s="178">
        <v>5.3341479275110846</v>
      </c>
      <c r="Y300" s="178">
        <v>5.3630392953068196</v>
      </c>
      <c r="Z300" s="178">
        <v>5.3926408601031932</v>
      </c>
      <c r="AA300" s="178">
        <v>5.4229732630469263</v>
      </c>
      <c r="AB300" s="178">
        <v>5.4540577536899919</v>
      </c>
      <c r="AC300" s="178">
        <v>5.4844685425650388</v>
      </c>
      <c r="AD300" s="178">
        <v>5.5156323861842749</v>
      </c>
      <c r="AE300" s="178">
        <v>5.5475714563413199</v>
      </c>
      <c r="AF300" s="178">
        <v>5.5803085869579547</v>
      </c>
      <c r="AG300" s="178">
        <v>5.6138672939188865</v>
      </c>
      <c r="AH300" s="178">
        <v>5.6482717955012589</v>
      </c>
      <c r="AI300" s="178">
        <v>5.6835470334167626</v>
      </c>
      <c r="AJ300" s="178">
        <v>5.7197186944847003</v>
      </c>
      <c r="AK300" s="178">
        <v>5.7568132329549746</v>
      </c>
      <c r="AL300" s="178">
        <v>5.7948578935004251</v>
      </c>
      <c r="AM300" s="178">
        <v>5.8338807348986634</v>
      </c>
      <c r="AN300" s="178">
        <v>5.8739106544240389</v>
      </c>
      <c r="AO300" s="178">
        <v>5.9149774129710577</v>
      </c>
      <c r="AP300" s="178">
        <v>5.9571116609311865</v>
      </c>
      <c r="AQ300" s="178">
        <v>6.0003449648456533</v>
      </c>
      <c r="AR300" s="178">
        <v>6.0447098348575068</v>
      </c>
    </row>
    <row r="301" spans="1:44" x14ac:dyDescent="0.2">
      <c r="B301" s="157"/>
      <c r="C301" s="158" t="s">
        <v>84</v>
      </c>
      <c r="D301" s="159"/>
      <c r="E301" s="193"/>
      <c r="F301" s="158"/>
      <c r="G301" s="183">
        <v>0</v>
      </c>
      <c r="H301" s="183">
        <v>0</v>
      </c>
      <c r="I301" s="183">
        <v>0</v>
      </c>
      <c r="J301" s="183">
        <v>0</v>
      </c>
      <c r="K301" s="183">
        <v>1.3445990712301319</v>
      </c>
      <c r="L301" s="183">
        <v>1.3159664374189008</v>
      </c>
      <c r="M301" s="183">
        <v>1.3180476219979578</v>
      </c>
      <c r="N301" s="180">
        <v>14.308028553800018</v>
      </c>
      <c r="O301" s="180">
        <v>14.501256498101792</v>
      </c>
      <c r="P301" s="180">
        <v>14.684945130453572</v>
      </c>
      <c r="Q301" s="180">
        <v>14.871476296902694</v>
      </c>
      <c r="R301" s="180">
        <v>15.064365884176109</v>
      </c>
      <c r="S301" s="180">
        <v>15.345388820792495</v>
      </c>
      <c r="T301" s="180">
        <v>15.611424161625264</v>
      </c>
      <c r="U301" s="180">
        <v>15.913142484695907</v>
      </c>
      <c r="V301" s="180">
        <v>16.214344227116129</v>
      </c>
      <c r="W301" s="180">
        <v>16.526605277547372</v>
      </c>
      <c r="X301" s="180">
        <v>16.770369160180351</v>
      </c>
      <c r="Y301" s="180">
        <v>17.040313167945889</v>
      </c>
      <c r="Z301" s="180">
        <v>17.289815772294723</v>
      </c>
      <c r="AA301" s="180">
        <v>17.569688173248597</v>
      </c>
      <c r="AB301" s="180">
        <v>17.8400343565343</v>
      </c>
      <c r="AC301" s="180">
        <v>18.07610086418752</v>
      </c>
      <c r="AD301" s="180">
        <v>18.311407359166193</v>
      </c>
      <c r="AE301" s="180">
        <v>18.535061145620897</v>
      </c>
      <c r="AF301" s="180">
        <v>18.77254608141849</v>
      </c>
      <c r="AG301" s="180">
        <v>18.985700635547396</v>
      </c>
      <c r="AH301" s="180">
        <v>19.259133236534261</v>
      </c>
      <c r="AI301" s="180">
        <v>19.50822206328359</v>
      </c>
      <c r="AJ301" s="180">
        <v>19.758453131321264</v>
      </c>
      <c r="AK301" s="180">
        <v>20.022584020856812</v>
      </c>
      <c r="AL301" s="180">
        <v>20.287914681009905</v>
      </c>
      <c r="AM301" s="180">
        <v>20.554475110382924</v>
      </c>
      <c r="AN301" s="180">
        <v>20.84775460051749</v>
      </c>
      <c r="AO301" s="180">
        <v>21.129597228773658</v>
      </c>
      <c r="AP301" s="180">
        <v>21.412764854584424</v>
      </c>
      <c r="AQ301" s="180">
        <v>21.722749489522354</v>
      </c>
      <c r="AR301" s="180">
        <v>22.021398011425568</v>
      </c>
    </row>
    <row r="302" spans="1:44" x14ac:dyDescent="0.2">
      <c r="B302" s="171"/>
      <c r="C302" s="172"/>
      <c r="D302" s="173"/>
      <c r="E302" s="172"/>
      <c r="F302" s="172"/>
      <c r="G302" s="171"/>
      <c r="H302" s="171"/>
      <c r="I302" s="174"/>
      <c r="J302" s="174"/>
      <c r="K302" s="174"/>
      <c r="L302" s="175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  <c r="Z302" s="176"/>
      <c r="AA302" s="176"/>
      <c r="AB302" s="176"/>
      <c r="AC302" s="176"/>
      <c r="AD302" s="176"/>
      <c r="AE302" s="176"/>
      <c r="AF302" s="176"/>
      <c r="AG302" s="176"/>
      <c r="AH302" s="176"/>
      <c r="AI302" s="176"/>
      <c r="AJ302" s="176"/>
      <c r="AK302" s="176"/>
      <c r="AL302" s="176"/>
      <c r="AM302" s="176"/>
      <c r="AN302" s="176"/>
      <c r="AO302" s="176"/>
      <c r="AP302" s="176"/>
      <c r="AQ302" s="176"/>
      <c r="AR302" s="176"/>
    </row>
    <row r="303" spans="1:44" x14ac:dyDescent="0.2">
      <c r="A303" s="239"/>
      <c r="B303" s="240"/>
      <c r="C303" s="241" t="s">
        <v>267</v>
      </c>
      <c r="D303" s="242"/>
      <c r="E303" s="241"/>
      <c r="F303" s="241"/>
      <c r="G303" s="243"/>
      <c r="H303" s="243"/>
      <c r="I303" s="240"/>
      <c r="J303" s="240"/>
      <c r="K303" s="240"/>
      <c r="L303" s="240"/>
      <c r="M303" s="240"/>
      <c r="N303" s="240"/>
      <c r="O303" s="240"/>
      <c r="P303" s="244"/>
      <c r="Q303" s="244"/>
      <c r="R303" s="244"/>
      <c r="S303" s="244"/>
      <c r="T303" s="244"/>
      <c r="U303" s="244"/>
      <c r="V303" s="244"/>
      <c r="W303" s="241"/>
      <c r="X303" s="244"/>
      <c r="Y303" s="244"/>
      <c r="Z303" s="244"/>
      <c r="AA303" s="244"/>
      <c r="AB303" s="244"/>
      <c r="AC303" s="244"/>
      <c r="AD303" s="244"/>
      <c r="AE303" s="244"/>
      <c r="AF303" s="244"/>
      <c r="AG303" s="244"/>
      <c r="AH303" s="244"/>
      <c r="AI303" s="244"/>
      <c r="AJ303" s="244"/>
      <c r="AK303" s="244"/>
      <c r="AL303" s="244"/>
      <c r="AM303" s="244"/>
      <c r="AN303" s="244"/>
      <c r="AO303" s="244"/>
      <c r="AP303" s="244"/>
      <c r="AQ303" s="244"/>
      <c r="AR303" s="244"/>
    </row>
    <row r="304" spans="1:44" x14ac:dyDescent="0.2">
      <c r="A304" s="145"/>
      <c r="B304" s="146"/>
      <c r="C304" s="146" t="s">
        <v>218</v>
      </c>
      <c r="D304" s="147" t="s">
        <v>219</v>
      </c>
      <c r="E304" s="146"/>
      <c r="F304" s="146"/>
      <c r="G304" s="148">
        <v>2019</v>
      </c>
      <c r="H304" s="148">
        <v>2020</v>
      </c>
      <c r="I304" s="148">
        <v>2021</v>
      </c>
      <c r="J304" s="148">
        <v>2022</v>
      </c>
      <c r="K304" s="148">
        <v>2023</v>
      </c>
      <c r="L304" s="149">
        <v>45352</v>
      </c>
      <c r="M304" s="148">
        <v>2024</v>
      </c>
      <c r="N304" s="146">
        <v>2025</v>
      </c>
      <c r="O304" s="146">
        <v>2026</v>
      </c>
      <c r="P304" s="146">
        <v>2027</v>
      </c>
      <c r="Q304" s="146">
        <v>2028</v>
      </c>
      <c r="R304" s="146">
        <v>2029</v>
      </c>
      <c r="S304" s="146">
        <v>2030</v>
      </c>
      <c r="T304" s="146">
        <v>2031</v>
      </c>
      <c r="U304" s="146">
        <v>2032</v>
      </c>
      <c r="V304" s="146">
        <v>2033</v>
      </c>
      <c r="W304" s="146">
        <v>2034</v>
      </c>
      <c r="X304" s="146">
        <v>2035</v>
      </c>
      <c r="Y304" s="146">
        <v>2036</v>
      </c>
      <c r="Z304" s="146">
        <v>2037</v>
      </c>
      <c r="AA304" s="146">
        <v>2038</v>
      </c>
      <c r="AB304" s="146">
        <v>2039</v>
      </c>
      <c r="AC304" s="146">
        <v>2040</v>
      </c>
      <c r="AD304" s="146">
        <v>2041</v>
      </c>
      <c r="AE304" s="146">
        <v>2042</v>
      </c>
      <c r="AF304" s="146">
        <v>2043</v>
      </c>
      <c r="AG304" s="146">
        <v>2044</v>
      </c>
      <c r="AH304" s="146">
        <v>2045</v>
      </c>
      <c r="AI304" s="146">
        <v>2046</v>
      </c>
      <c r="AJ304" s="146">
        <v>2047</v>
      </c>
      <c r="AK304" s="146">
        <v>2048</v>
      </c>
      <c r="AL304" s="146">
        <v>2049</v>
      </c>
      <c r="AM304" s="146">
        <v>2050</v>
      </c>
      <c r="AN304" s="146">
        <v>2051</v>
      </c>
      <c r="AO304" s="146">
        <v>2052</v>
      </c>
      <c r="AP304" s="146">
        <v>2053</v>
      </c>
      <c r="AQ304" s="146">
        <v>2054</v>
      </c>
      <c r="AR304" s="146">
        <v>2055</v>
      </c>
    </row>
    <row r="305" spans="1:44" x14ac:dyDescent="0.2">
      <c r="A305" s="184"/>
      <c r="B305" s="185"/>
      <c r="C305" s="185"/>
      <c r="D305" s="186"/>
      <c r="E305" s="185"/>
      <c r="F305" s="185"/>
      <c r="G305" s="187"/>
      <c r="H305" s="187"/>
      <c r="I305" s="187"/>
      <c r="J305" s="187"/>
      <c r="K305" s="188"/>
      <c r="L305" s="188"/>
      <c r="M305" s="188"/>
      <c r="N305" s="188"/>
      <c r="O305" s="185"/>
      <c r="P305" s="185"/>
      <c r="Q305" s="185"/>
      <c r="R305" s="185"/>
      <c r="S305" s="185"/>
      <c r="T305" s="185"/>
      <c r="U305" s="185"/>
      <c r="V305" s="185"/>
      <c r="W305" s="185"/>
      <c r="X305" s="185"/>
      <c r="Y305" s="185"/>
      <c r="Z305" s="185"/>
      <c r="AA305" s="185"/>
      <c r="AB305" s="185"/>
      <c r="AC305" s="185"/>
      <c r="AD305" s="185"/>
      <c r="AE305" s="185"/>
      <c r="AF305" s="185"/>
      <c r="AG305" s="185"/>
      <c r="AH305" s="185"/>
      <c r="AI305" s="185"/>
      <c r="AJ305" s="185"/>
      <c r="AK305" s="185"/>
      <c r="AL305" s="185"/>
      <c r="AM305" s="185"/>
      <c r="AN305" s="185"/>
      <c r="AO305" s="185"/>
      <c r="AP305" s="185"/>
      <c r="AQ305" s="185"/>
      <c r="AR305" s="185"/>
    </row>
    <row r="306" spans="1:44" x14ac:dyDescent="0.2">
      <c r="B306" s="198"/>
      <c r="C306" s="198"/>
      <c r="D306" s="199"/>
      <c r="E306" s="200"/>
      <c r="F306" s="198"/>
      <c r="G306" s="150"/>
      <c r="H306" s="150"/>
      <c r="I306" s="150"/>
      <c r="J306" s="150"/>
      <c r="K306" s="150"/>
      <c r="L306" s="150"/>
      <c r="M306" s="150"/>
      <c r="N306" s="198"/>
      <c r="O306" s="198"/>
      <c r="P306" s="198"/>
      <c r="Q306" s="198"/>
      <c r="R306" s="198"/>
      <c r="S306" s="198"/>
      <c r="T306" s="198"/>
      <c r="U306" s="198"/>
      <c r="V306" s="198"/>
      <c r="W306" s="198"/>
      <c r="X306" s="198"/>
      <c r="Y306" s="198"/>
      <c r="Z306" s="198"/>
      <c r="AA306" s="198"/>
      <c r="AB306" s="198"/>
      <c r="AC306" s="198"/>
      <c r="AD306" s="198"/>
      <c r="AE306" s="198"/>
      <c r="AF306" s="198"/>
      <c r="AG306" s="198"/>
      <c r="AH306" s="198"/>
      <c r="AI306" s="198"/>
      <c r="AJ306" s="198"/>
      <c r="AK306" s="198"/>
      <c r="AL306" s="198"/>
      <c r="AM306" s="198"/>
      <c r="AN306" s="198"/>
      <c r="AO306" s="198"/>
      <c r="AP306" s="198"/>
      <c r="AQ306" s="198"/>
      <c r="AR306" s="198"/>
    </row>
    <row r="307" spans="1:44" x14ac:dyDescent="0.2">
      <c r="B307" s="154">
        <v>1</v>
      </c>
      <c r="C307" s="137" t="s">
        <v>220</v>
      </c>
      <c r="D307" s="155" t="s">
        <v>221</v>
      </c>
      <c r="G307" s="238">
        <v>0</v>
      </c>
      <c r="H307" s="238">
        <v>0</v>
      </c>
      <c r="I307" s="238">
        <v>0</v>
      </c>
      <c r="J307" s="238">
        <v>0</v>
      </c>
      <c r="K307" s="238">
        <v>1.6905369863013699E-2</v>
      </c>
      <c r="L307" s="238">
        <v>1.8746593406593407E-2</v>
      </c>
      <c r="M307" s="238">
        <v>1.8840326373626377E-2</v>
      </c>
      <c r="N307" s="238">
        <v>1.89345280054945E-2</v>
      </c>
      <c r="O307" s="238">
        <v>1.9029200645521979E-2</v>
      </c>
      <c r="P307" s="238">
        <v>1.9124346648749589E-2</v>
      </c>
      <c r="Q307" s="238">
        <v>1.921996838199334E-2</v>
      </c>
      <c r="R307" s="238">
        <v>1.9316068223903308E-2</v>
      </c>
      <c r="S307" s="238">
        <v>1.9412648565022821E-2</v>
      </c>
      <c r="T307" s="238">
        <v>2.0095003162083364E-2</v>
      </c>
      <c r="U307" s="238">
        <v>2.0801342523230602E-2</v>
      </c>
      <c r="V307" s="238">
        <v>2.153250971292215E-2</v>
      </c>
      <c r="W307" s="238">
        <v>2.2289377429331361E-2</v>
      </c>
      <c r="X307" s="238">
        <v>2.2848840802807583E-2</v>
      </c>
      <c r="Y307" s="238">
        <v>2.3422346706958055E-2</v>
      </c>
      <c r="Z307" s="238">
        <v>2.40102476093027E-2</v>
      </c>
      <c r="AA307" s="238">
        <v>2.4612904824296199E-2</v>
      </c>
      <c r="AB307" s="238">
        <v>2.473596934841768E-2</v>
      </c>
      <c r="AC307" s="238">
        <v>2.4859649195159768E-2</v>
      </c>
      <c r="AD307" s="238">
        <v>2.4983947441135568E-2</v>
      </c>
      <c r="AE307" s="238">
        <v>2.5108867178341241E-2</v>
      </c>
      <c r="AF307" s="238">
        <v>2.523441151423295E-2</v>
      </c>
      <c r="AG307" s="238">
        <v>2.5360583571804117E-2</v>
      </c>
      <c r="AH307" s="238">
        <v>2.5487386489663134E-2</v>
      </c>
      <c r="AI307" s="238">
        <v>2.5614823422111452E-2</v>
      </c>
      <c r="AJ307" s="238">
        <v>2.5742897539222011E-2</v>
      </c>
      <c r="AK307" s="238">
        <v>2.5871612026918116E-2</v>
      </c>
      <c r="AL307" s="238">
        <v>2.6000970087052707E-2</v>
      </c>
      <c r="AM307" s="238">
        <v>2.613097493748797E-2</v>
      </c>
      <c r="AN307" s="238">
        <v>2.6261629812175419E-2</v>
      </c>
      <c r="AO307" s="238">
        <v>2.639293796123629E-2</v>
      </c>
      <c r="AP307" s="238">
        <v>2.6524902651042473E-2</v>
      </c>
      <c r="AQ307" s="238">
        <v>2.665752716429769E-2</v>
      </c>
      <c r="AR307" s="238">
        <v>2.6790814800119175E-2</v>
      </c>
    </row>
    <row r="308" spans="1:44" x14ac:dyDescent="0.2">
      <c r="B308" s="154">
        <v>2</v>
      </c>
      <c r="C308" s="137" t="s">
        <v>222</v>
      </c>
      <c r="D308" s="155" t="s">
        <v>223</v>
      </c>
      <c r="G308" s="178">
        <v>0</v>
      </c>
      <c r="H308" s="178">
        <v>0</v>
      </c>
      <c r="I308" s="178">
        <v>0</v>
      </c>
      <c r="J308" s="178">
        <v>0</v>
      </c>
      <c r="K308" s="178">
        <v>0</v>
      </c>
      <c r="L308" s="178">
        <v>0</v>
      </c>
      <c r="M308" s="178">
        <v>0</v>
      </c>
      <c r="N308" s="178">
        <v>0</v>
      </c>
      <c r="O308" s="178">
        <v>0</v>
      </c>
      <c r="P308" s="178">
        <v>0</v>
      </c>
      <c r="Q308" s="178">
        <v>0</v>
      </c>
      <c r="R308" s="178">
        <v>0</v>
      </c>
      <c r="S308" s="178">
        <v>0</v>
      </c>
      <c r="T308" s="178">
        <v>0</v>
      </c>
      <c r="U308" s="178">
        <v>0</v>
      </c>
      <c r="V308" s="178">
        <v>0</v>
      </c>
      <c r="W308" s="178">
        <v>0</v>
      </c>
      <c r="X308" s="178">
        <v>0</v>
      </c>
      <c r="Y308" s="178">
        <v>0</v>
      </c>
      <c r="Z308" s="178">
        <v>0</v>
      </c>
      <c r="AA308" s="178">
        <v>0</v>
      </c>
      <c r="AB308" s="178">
        <v>0</v>
      </c>
      <c r="AC308" s="178">
        <v>0</v>
      </c>
      <c r="AD308" s="178">
        <v>0</v>
      </c>
      <c r="AE308" s="178">
        <v>0</v>
      </c>
      <c r="AF308" s="178">
        <v>0</v>
      </c>
      <c r="AG308" s="178">
        <v>0</v>
      </c>
      <c r="AH308" s="178">
        <v>0</v>
      </c>
      <c r="AI308" s="178">
        <v>0</v>
      </c>
      <c r="AJ308" s="178">
        <v>0</v>
      </c>
      <c r="AK308" s="178">
        <v>0</v>
      </c>
      <c r="AL308" s="178">
        <v>0</v>
      </c>
      <c r="AM308" s="178">
        <v>0</v>
      </c>
      <c r="AN308" s="178">
        <v>0</v>
      </c>
      <c r="AO308" s="178">
        <v>0</v>
      </c>
      <c r="AP308" s="178">
        <v>0</v>
      </c>
      <c r="AQ308" s="178">
        <v>0</v>
      </c>
      <c r="AR308" s="178">
        <v>0</v>
      </c>
    </row>
    <row r="309" spans="1:44" x14ac:dyDescent="0.2">
      <c r="B309" s="154">
        <v>3</v>
      </c>
      <c r="C309" s="137" t="s">
        <v>224</v>
      </c>
      <c r="D309" s="155" t="s">
        <v>225</v>
      </c>
      <c r="G309" s="178">
        <v>0</v>
      </c>
      <c r="H309" s="178">
        <v>0</v>
      </c>
      <c r="I309" s="178">
        <v>0</v>
      </c>
      <c r="J309" s="178">
        <v>0</v>
      </c>
      <c r="K309" s="178">
        <v>0</v>
      </c>
      <c r="L309" s="178">
        <v>0</v>
      </c>
      <c r="M309" s="178">
        <v>0</v>
      </c>
      <c r="N309" s="178">
        <v>0</v>
      </c>
      <c r="O309" s="178">
        <v>0</v>
      </c>
      <c r="P309" s="178">
        <v>0</v>
      </c>
      <c r="Q309" s="178">
        <v>0</v>
      </c>
      <c r="R309" s="178">
        <v>0</v>
      </c>
      <c r="S309" s="178">
        <v>0</v>
      </c>
      <c r="T309" s="178">
        <v>0</v>
      </c>
      <c r="U309" s="178">
        <v>0</v>
      </c>
      <c r="V309" s="178">
        <v>0</v>
      </c>
      <c r="W309" s="178">
        <v>0</v>
      </c>
      <c r="X309" s="178">
        <v>0</v>
      </c>
      <c r="Y309" s="178">
        <v>0</v>
      </c>
      <c r="Z309" s="178">
        <v>0</v>
      </c>
      <c r="AA309" s="178">
        <v>0</v>
      </c>
      <c r="AB309" s="178">
        <v>0</v>
      </c>
      <c r="AC309" s="178">
        <v>0</v>
      </c>
      <c r="AD309" s="178">
        <v>0</v>
      </c>
      <c r="AE309" s="178">
        <v>0</v>
      </c>
      <c r="AF309" s="178">
        <v>0</v>
      </c>
      <c r="AG309" s="178">
        <v>0</v>
      </c>
      <c r="AH309" s="178">
        <v>0</v>
      </c>
      <c r="AI309" s="178">
        <v>0</v>
      </c>
      <c r="AJ309" s="178">
        <v>0</v>
      </c>
      <c r="AK309" s="178">
        <v>0</v>
      </c>
      <c r="AL309" s="178">
        <v>0</v>
      </c>
      <c r="AM309" s="178">
        <v>0</v>
      </c>
      <c r="AN309" s="178">
        <v>0</v>
      </c>
      <c r="AO309" s="178">
        <v>0</v>
      </c>
      <c r="AP309" s="178">
        <v>0</v>
      </c>
      <c r="AQ309" s="178">
        <v>0</v>
      </c>
      <c r="AR309" s="178">
        <v>0</v>
      </c>
    </row>
    <row r="310" spans="1:44" x14ac:dyDescent="0.2">
      <c r="B310" s="154">
        <v>4</v>
      </c>
      <c r="C310" s="137" t="s">
        <v>226</v>
      </c>
      <c r="D310" s="155" t="s">
        <v>227</v>
      </c>
      <c r="G310" s="178">
        <v>0</v>
      </c>
      <c r="H310" s="178">
        <v>0</v>
      </c>
      <c r="I310" s="178">
        <v>0</v>
      </c>
      <c r="J310" s="178">
        <v>0</v>
      </c>
      <c r="K310" s="178">
        <v>2.8452955525466291E-2</v>
      </c>
      <c r="L310" s="178">
        <v>2.8452955525466291E-2</v>
      </c>
      <c r="M310" s="178">
        <v>2.8452955525466291E-2</v>
      </c>
      <c r="N310" s="178">
        <v>2.8676514461737815E-2</v>
      </c>
      <c r="O310" s="178">
        <v>2.8902308987372047E-2</v>
      </c>
      <c r="P310" s="178">
        <v>2.913036145826263E-2</v>
      </c>
      <c r="Q310" s="178">
        <v>2.9360694453862114E-2</v>
      </c>
      <c r="R310" s="178">
        <v>2.9593330779417594E-2</v>
      </c>
      <c r="S310" s="178">
        <v>2.9828293468228625E-2</v>
      </c>
      <c r="T310" s="178">
        <v>3.0065605783927772E-2</v>
      </c>
      <c r="U310" s="178">
        <v>3.0305291222783907E-2</v>
      </c>
      <c r="V310" s="178">
        <v>3.0547373516028608E-2</v>
      </c>
      <c r="W310" s="178">
        <v>3.0791876632205752E-2</v>
      </c>
      <c r="X310" s="178">
        <v>3.1038824779544668E-2</v>
      </c>
      <c r="Y310" s="178">
        <v>3.1288242408356974E-2</v>
      </c>
      <c r="Z310" s="178">
        <v>3.1540154213457391E-2</v>
      </c>
      <c r="AA310" s="178">
        <v>3.1794585136608829E-2</v>
      </c>
      <c r="AB310" s="178">
        <v>3.2051560368991774E-2</v>
      </c>
      <c r="AC310" s="178">
        <v>3.2311105353698549E-2</v>
      </c>
      <c r="AD310" s="178">
        <v>3.2573245788252395E-2</v>
      </c>
      <c r="AE310" s="178">
        <v>3.2838007627151777E-2</v>
      </c>
      <c r="AF310" s="178">
        <v>3.3105417084440147E-2</v>
      </c>
      <c r="AG310" s="178">
        <v>3.337550063630141E-2</v>
      </c>
      <c r="AH310" s="178">
        <v>3.3648285023681279E-2</v>
      </c>
      <c r="AI310" s="178">
        <v>3.3923797254934954E-2</v>
      </c>
      <c r="AJ310" s="178">
        <v>3.4202064608501156E-2</v>
      </c>
      <c r="AK310" s="178">
        <v>3.4483114635603024E-2</v>
      </c>
      <c r="AL310" s="178">
        <v>3.4766975162975909E-2</v>
      </c>
      <c r="AM310" s="178">
        <v>3.5053674295622526E-2</v>
      </c>
      <c r="AN310" s="178">
        <v>3.5343240419595613E-2</v>
      </c>
      <c r="AO310" s="178">
        <v>3.5635702204808425E-2</v>
      </c>
      <c r="AP310" s="178">
        <v>3.5931088607873377E-2</v>
      </c>
      <c r="AQ310" s="178">
        <v>3.6229428874968959E-2</v>
      </c>
      <c r="AR310" s="178">
        <v>3.6530752544735506E-2</v>
      </c>
    </row>
    <row r="311" spans="1:44" x14ac:dyDescent="0.2">
      <c r="B311" s="154">
        <v>5</v>
      </c>
      <c r="C311" s="137" t="s">
        <v>228</v>
      </c>
      <c r="D311" s="155" t="s">
        <v>221</v>
      </c>
      <c r="G311" s="178">
        <v>0</v>
      </c>
      <c r="H311" s="178">
        <v>0</v>
      </c>
      <c r="I311" s="178">
        <v>0</v>
      </c>
      <c r="J311" s="178">
        <v>0</v>
      </c>
      <c r="K311" s="178">
        <v>3.2180061624161045E-2</v>
      </c>
      <c r="L311" s="178">
        <v>3.2180061624161045E-2</v>
      </c>
      <c r="M311" s="178">
        <v>3.2180061624161045E-2</v>
      </c>
      <c r="N311" s="178">
        <v>3.2180061624161045E-2</v>
      </c>
      <c r="O311" s="178">
        <v>3.2180061624161045E-2</v>
      </c>
      <c r="P311" s="178">
        <v>3.2180061624161045E-2</v>
      </c>
      <c r="Q311" s="178">
        <v>3.2180061624161045E-2</v>
      </c>
      <c r="R311" s="178">
        <v>3.2180061624161045E-2</v>
      </c>
      <c r="S311" s="178">
        <v>3.2501862240402656E-2</v>
      </c>
      <c r="T311" s="178">
        <v>3.2501862240402656E-2</v>
      </c>
      <c r="U311" s="178">
        <v>3.2501862240402656E-2</v>
      </c>
      <c r="V311" s="178">
        <v>3.2501862240402656E-2</v>
      </c>
      <c r="W311" s="178">
        <v>3.2501862240402656E-2</v>
      </c>
      <c r="X311" s="178">
        <v>3.2501862240402656E-2</v>
      </c>
      <c r="Y311" s="178">
        <v>3.2501862240402656E-2</v>
      </c>
      <c r="Z311" s="178">
        <v>3.2501862240402656E-2</v>
      </c>
      <c r="AA311" s="178">
        <v>3.2501862240402656E-2</v>
      </c>
      <c r="AB311" s="178">
        <v>3.2501862240402656E-2</v>
      </c>
      <c r="AC311" s="178">
        <v>3.2501862240402656E-2</v>
      </c>
      <c r="AD311" s="178">
        <v>3.2501862240402656E-2</v>
      </c>
      <c r="AE311" s="178">
        <v>3.2501862240402656E-2</v>
      </c>
      <c r="AF311" s="178">
        <v>3.2501862240402656E-2</v>
      </c>
      <c r="AG311" s="178">
        <v>3.2501862240402656E-2</v>
      </c>
      <c r="AH311" s="178">
        <v>3.2501862240402656E-2</v>
      </c>
      <c r="AI311" s="178">
        <v>3.2501862240402656E-2</v>
      </c>
      <c r="AJ311" s="178">
        <v>3.2501862240402656E-2</v>
      </c>
      <c r="AK311" s="178">
        <v>3.2501862240402656E-2</v>
      </c>
      <c r="AL311" s="178">
        <v>3.2501862240402656E-2</v>
      </c>
      <c r="AM311" s="178">
        <v>3.2501862240402656E-2</v>
      </c>
      <c r="AN311" s="178">
        <v>3.2501862240402656E-2</v>
      </c>
      <c r="AO311" s="178">
        <v>3.2501862240402656E-2</v>
      </c>
      <c r="AP311" s="178">
        <v>3.2501862240402656E-2</v>
      </c>
      <c r="AQ311" s="178">
        <v>3.2501862240402656E-2</v>
      </c>
      <c r="AR311" s="178">
        <v>3.2501862240402656E-2</v>
      </c>
    </row>
    <row r="312" spans="1:44" x14ac:dyDescent="0.2">
      <c r="B312" s="154">
        <v>6</v>
      </c>
      <c r="C312" s="137" t="s">
        <v>229</v>
      </c>
      <c r="D312" s="155" t="s">
        <v>230</v>
      </c>
      <c r="G312" s="178">
        <v>0</v>
      </c>
      <c r="H312" s="178">
        <v>0</v>
      </c>
      <c r="I312" s="178">
        <v>0</v>
      </c>
      <c r="J312" s="178">
        <v>0</v>
      </c>
      <c r="K312" s="178">
        <v>0</v>
      </c>
      <c r="L312" s="178">
        <v>0</v>
      </c>
      <c r="M312" s="178">
        <v>0</v>
      </c>
      <c r="N312" s="178">
        <v>0</v>
      </c>
      <c r="O312" s="178">
        <v>0</v>
      </c>
      <c r="P312" s="178">
        <v>0</v>
      </c>
      <c r="Q312" s="178">
        <v>0</v>
      </c>
      <c r="R312" s="178">
        <v>0</v>
      </c>
      <c r="S312" s="178">
        <v>0</v>
      </c>
      <c r="T312" s="178">
        <v>0</v>
      </c>
      <c r="U312" s="178">
        <v>0</v>
      </c>
      <c r="V312" s="178">
        <v>0</v>
      </c>
      <c r="W312" s="178">
        <v>0</v>
      </c>
      <c r="X312" s="178">
        <v>0</v>
      </c>
      <c r="Y312" s="178">
        <v>0</v>
      </c>
      <c r="Z312" s="178">
        <v>0</v>
      </c>
      <c r="AA312" s="178">
        <v>0</v>
      </c>
      <c r="AB312" s="178">
        <v>0</v>
      </c>
      <c r="AC312" s="178">
        <v>0</v>
      </c>
      <c r="AD312" s="178">
        <v>0</v>
      </c>
      <c r="AE312" s="178">
        <v>0</v>
      </c>
      <c r="AF312" s="178">
        <v>0</v>
      </c>
      <c r="AG312" s="178">
        <v>0</v>
      </c>
      <c r="AH312" s="178">
        <v>0</v>
      </c>
      <c r="AI312" s="178">
        <v>0</v>
      </c>
      <c r="AJ312" s="178">
        <v>0</v>
      </c>
      <c r="AK312" s="178">
        <v>0</v>
      </c>
      <c r="AL312" s="178">
        <v>0</v>
      </c>
      <c r="AM312" s="178">
        <v>0</v>
      </c>
      <c r="AN312" s="178">
        <v>0</v>
      </c>
      <c r="AO312" s="178">
        <v>0</v>
      </c>
      <c r="AP312" s="178">
        <v>0</v>
      </c>
      <c r="AQ312" s="178">
        <v>0</v>
      </c>
      <c r="AR312" s="178">
        <v>0</v>
      </c>
    </row>
    <row r="313" spans="1:44" x14ac:dyDescent="0.2">
      <c r="B313" s="154">
        <v>7</v>
      </c>
      <c r="C313" s="137" t="s">
        <v>231</v>
      </c>
      <c r="D313" s="155" t="s">
        <v>225</v>
      </c>
      <c r="G313" s="178">
        <v>0</v>
      </c>
      <c r="H313" s="178">
        <v>0</v>
      </c>
      <c r="I313" s="178">
        <v>0</v>
      </c>
      <c r="J313" s="178">
        <v>0</v>
      </c>
      <c r="K313" s="178">
        <v>2.2165808219178077E-2</v>
      </c>
      <c r="L313" s="178">
        <v>2.7366446280991732E-2</v>
      </c>
      <c r="M313" s="178">
        <v>2.7366446280991743E-2</v>
      </c>
      <c r="N313" s="178">
        <v>2.7640110743801662E-2</v>
      </c>
      <c r="O313" s="178">
        <v>2.7916511851239677E-2</v>
      </c>
      <c r="P313" s="178">
        <v>2.819567696975207E-2</v>
      </c>
      <c r="Q313" s="178">
        <v>2.8477633739449591E-2</v>
      </c>
      <c r="R313" s="178">
        <v>2.8762410076844085E-2</v>
      </c>
      <c r="S313" s="178">
        <v>2.9050034177612528E-2</v>
      </c>
      <c r="T313" s="178">
        <v>2.9340534519388652E-2</v>
      </c>
      <c r="U313" s="178">
        <v>2.9633939864582539E-2</v>
      </c>
      <c r="V313" s="178">
        <v>2.9930279263228363E-2</v>
      </c>
      <c r="W313" s="178">
        <v>3.0229582055860647E-2</v>
      </c>
      <c r="X313" s="178">
        <v>3.0531877876419259E-2</v>
      </c>
      <c r="Y313" s="178">
        <v>3.083719665518345E-2</v>
      </c>
      <c r="Z313" s="178">
        <v>3.114556862173529E-2</v>
      </c>
      <c r="AA313" s="178">
        <v>3.1457024307952636E-2</v>
      </c>
      <c r="AB313" s="178">
        <v>3.1771594551032165E-2</v>
      </c>
      <c r="AC313" s="178">
        <v>3.2089310496542477E-2</v>
      </c>
      <c r="AD313" s="178">
        <v>3.2410203601507905E-2</v>
      </c>
      <c r="AE313" s="178">
        <v>3.2734305637522984E-2</v>
      </c>
      <c r="AF313" s="178">
        <v>3.3061648693898209E-2</v>
      </c>
      <c r="AG313" s="178">
        <v>3.3392265180837204E-2</v>
      </c>
      <c r="AH313" s="178">
        <v>3.3726187832645568E-2</v>
      </c>
      <c r="AI313" s="178">
        <v>3.4063449710972034E-2</v>
      </c>
      <c r="AJ313" s="178">
        <v>3.4404084208081755E-2</v>
      </c>
      <c r="AK313" s="178">
        <v>3.4748125050162559E-2</v>
      </c>
      <c r="AL313" s="178">
        <v>3.5095606300664182E-2</v>
      </c>
      <c r="AM313" s="178">
        <v>3.544656236367083E-2</v>
      </c>
      <c r="AN313" s="178">
        <v>3.5801027987307533E-2</v>
      </c>
      <c r="AO313" s="178">
        <v>3.6159038267180615E-2</v>
      </c>
      <c r="AP313" s="178">
        <v>3.6520628649852428E-2</v>
      </c>
      <c r="AQ313" s="178">
        <v>3.6885834936350954E-2</v>
      </c>
      <c r="AR313" s="178">
        <v>3.7254693285714457E-2</v>
      </c>
    </row>
    <row r="314" spans="1:44" x14ac:dyDescent="0.2">
      <c r="B314" s="154">
        <v>8</v>
      </c>
      <c r="C314" s="137" t="s">
        <v>232</v>
      </c>
      <c r="D314" s="155" t="s">
        <v>233</v>
      </c>
      <c r="G314" s="178">
        <v>0</v>
      </c>
      <c r="H314" s="178">
        <v>0</v>
      </c>
      <c r="I314" s="178">
        <v>0</v>
      </c>
      <c r="J314" s="178">
        <v>0</v>
      </c>
      <c r="K314" s="178">
        <v>0.13063287671232876</v>
      </c>
      <c r="L314" s="178">
        <v>0.18756043956043955</v>
      </c>
      <c r="M314" s="178">
        <v>0.18756043956043955</v>
      </c>
      <c r="N314" s="178">
        <v>2.3591700000000002</v>
      </c>
      <c r="O314" s="178">
        <v>2.3603517000000003</v>
      </c>
      <c r="P314" s="178">
        <v>2.3615452170000002</v>
      </c>
      <c r="Q314" s="178">
        <v>2.36275066917</v>
      </c>
      <c r="R314" s="178">
        <v>2.3639681758616997</v>
      </c>
      <c r="S314" s="178">
        <v>2.3651978576203168</v>
      </c>
      <c r="T314" s="178">
        <v>2.3664398361965202</v>
      </c>
      <c r="U314" s="178">
        <v>2.3676942345584853</v>
      </c>
      <c r="V314" s="178">
        <v>2.3689611769040702</v>
      </c>
      <c r="W314" s="178">
        <v>2.3702407886731112</v>
      </c>
      <c r="X314" s="178">
        <v>2.3715331965598421</v>
      </c>
      <c r="Y314" s="178">
        <v>2.3728385285254405</v>
      </c>
      <c r="Z314" s="178">
        <v>2.3741569138106948</v>
      </c>
      <c r="AA314" s="178">
        <v>2.3754884829488021</v>
      </c>
      <c r="AB314" s="178">
        <v>2.3768333677782891</v>
      </c>
      <c r="AC314" s="178">
        <v>2.3781917014560729</v>
      </c>
      <c r="AD314" s="178">
        <v>2.379563618470633</v>
      </c>
      <c r="AE314" s="178">
        <v>2.3809492546553397</v>
      </c>
      <c r="AF314" s="178">
        <v>2.3823487472018932</v>
      </c>
      <c r="AG314" s="178">
        <v>2.3837622346739118</v>
      </c>
      <c r="AH314" s="178">
        <v>2.3851898570206509</v>
      </c>
      <c r="AI314" s="178">
        <v>2.3866317555908578</v>
      </c>
      <c r="AJ314" s="178">
        <v>2.3880880731467662</v>
      </c>
      <c r="AK314" s="178">
        <v>2.3895589538782338</v>
      </c>
      <c r="AL314" s="178">
        <v>2.3910445434170167</v>
      </c>
      <c r="AM314" s="178">
        <v>2.3925449888511863</v>
      </c>
      <c r="AN314" s="178">
        <v>2.394060438739698</v>
      </c>
      <c r="AO314" s="178">
        <v>2.3955910431270957</v>
      </c>
      <c r="AP314" s="178">
        <v>2.3971369535583662</v>
      </c>
      <c r="AQ314" s="178">
        <v>2.3986983230939498</v>
      </c>
      <c r="AR314" s="178">
        <v>2.4002753063248896</v>
      </c>
    </row>
    <row r="315" spans="1:44" x14ac:dyDescent="0.2">
      <c r="B315" s="157"/>
      <c r="C315" s="158" t="s">
        <v>84</v>
      </c>
      <c r="D315" s="159"/>
      <c r="E315" s="193"/>
      <c r="F315" s="158"/>
      <c r="G315" s="183">
        <v>0</v>
      </c>
      <c r="H315" s="183">
        <v>0</v>
      </c>
      <c r="I315" s="183">
        <v>0</v>
      </c>
      <c r="J315" s="183">
        <v>0</v>
      </c>
      <c r="K315" s="183">
        <v>0.23033707194414788</v>
      </c>
      <c r="L315" s="183">
        <v>0.29430649639765205</v>
      </c>
      <c r="M315" s="183">
        <v>0.29440022936468502</v>
      </c>
      <c r="N315" s="180">
        <v>2.4666012148351952</v>
      </c>
      <c r="O315" s="180">
        <v>2.4683797831082952</v>
      </c>
      <c r="P315" s="180">
        <v>2.4701756637009256</v>
      </c>
      <c r="Q315" s="180">
        <v>2.471989027369466</v>
      </c>
      <c r="R315" s="180">
        <v>2.4738200465660256</v>
      </c>
      <c r="S315" s="180">
        <v>2.4759906960715834</v>
      </c>
      <c r="T315" s="180">
        <v>2.4784428419023228</v>
      </c>
      <c r="U315" s="180">
        <v>2.4809366704094851</v>
      </c>
      <c r="V315" s="180">
        <v>2.4834732016366519</v>
      </c>
      <c r="W315" s="180">
        <v>2.4860534870309117</v>
      </c>
      <c r="X315" s="180">
        <v>2.4884546022590164</v>
      </c>
      <c r="Y315" s="180">
        <v>2.4908881765363415</v>
      </c>
      <c r="Z315" s="180">
        <v>2.493354746495593</v>
      </c>
      <c r="AA315" s="180">
        <v>2.4958548594580625</v>
      </c>
      <c r="AB315" s="180">
        <v>2.4978943542871335</v>
      </c>
      <c r="AC315" s="180">
        <v>2.4999536287418764</v>
      </c>
      <c r="AD315" s="180">
        <v>2.5020328775419314</v>
      </c>
      <c r="AE315" s="180">
        <v>2.5041322973387583</v>
      </c>
      <c r="AF315" s="180">
        <v>2.5062520867348672</v>
      </c>
      <c r="AG315" s="180">
        <v>2.5083924463032572</v>
      </c>
      <c r="AH315" s="180">
        <v>2.5105535786070434</v>
      </c>
      <c r="AI315" s="180">
        <v>2.5127356882192791</v>
      </c>
      <c r="AJ315" s="180">
        <v>2.5149389817429739</v>
      </c>
      <c r="AK315" s="180">
        <v>2.5171636678313201</v>
      </c>
      <c r="AL315" s="180">
        <v>2.5194099572081123</v>
      </c>
      <c r="AM315" s="180">
        <v>2.5216780626883701</v>
      </c>
      <c r="AN315" s="180">
        <v>2.5239681991991794</v>
      </c>
      <c r="AO315" s="180">
        <v>2.5262805838007236</v>
      </c>
      <c r="AP315" s="180">
        <v>2.528615435707537</v>
      </c>
      <c r="AQ315" s="180">
        <v>2.53097297630997</v>
      </c>
      <c r="AR315" s="180">
        <v>2.5333534291958615</v>
      </c>
    </row>
    <row r="316" spans="1:44" x14ac:dyDescent="0.2">
      <c r="B316" s="154"/>
      <c r="D316" s="155"/>
      <c r="G316" s="154"/>
      <c r="H316" s="154"/>
      <c r="I316" s="154"/>
      <c r="J316" s="154"/>
      <c r="K316" s="154"/>
      <c r="L316" s="206"/>
      <c r="W316" s="172"/>
    </row>
    <row r="317" spans="1:44" x14ac:dyDescent="0.2">
      <c r="B317" s="139"/>
      <c r="C317" s="140" t="s">
        <v>268</v>
      </c>
      <c r="D317" s="141"/>
      <c r="E317" s="140"/>
      <c r="F317" s="140"/>
      <c r="G317" s="142"/>
      <c r="H317" s="142"/>
      <c r="I317" s="139"/>
      <c r="J317" s="139"/>
      <c r="K317" s="139"/>
      <c r="L317" s="143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0"/>
      <c r="X317" s="144"/>
      <c r="Y317" s="144"/>
      <c r="Z317" s="144"/>
      <c r="AA317" s="144"/>
      <c r="AB317" s="144"/>
      <c r="AC317" s="144"/>
      <c r="AD317" s="144"/>
      <c r="AE317" s="144"/>
      <c r="AF317" s="144"/>
      <c r="AG317" s="144"/>
      <c r="AH317" s="144"/>
      <c r="AI317" s="144"/>
      <c r="AJ317" s="144"/>
      <c r="AK317" s="144"/>
      <c r="AL317" s="144"/>
      <c r="AM317" s="144"/>
      <c r="AN317" s="144"/>
      <c r="AO317" s="144"/>
      <c r="AP317" s="144"/>
      <c r="AQ317" s="144"/>
      <c r="AR317" s="144"/>
    </row>
    <row r="318" spans="1:44" x14ac:dyDescent="0.2">
      <c r="A318" s="145"/>
      <c r="B318" s="146"/>
      <c r="C318" s="146" t="s">
        <v>218</v>
      </c>
      <c r="D318" s="147" t="s">
        <v>219</v>
      </c>
      <c r="E318" s="146"/>
      <c r="F318" s="146"/>
      <c r="G318" s="148">
        <v>2019</v>
      </c>
      <c r="H318" s="148">
        <v>2020</v>
      </c>
      <c r="I318" s="148">
        <v>2021</v>
      </c>
      <c r="J318" s="148">
        <v>2022</v>
      </c>
      <c r="K318" s="148">
        <v>2023</v>
      </c>
      <c r="L318" s="149">
        <v>45352</v>
      </c>
      <c r="M318" s="148">
        <v>2024</v>
      </c>
      <c r="N318" s="146">
        <v>2025</v>
      </c>
      <c r="O318" s="146">
        <v>2026</v>
      </c>
      <c r="P318" s="146">
        <v>2027</v>
      </c>
      <c r="Q318" s="146">
        <v>2028</v>
      </c>
      <c r="R318" s="146">
        <v>2029</v>
      </c>
      <c r="S318" s="146">
        <v>2030</v>
      </c>
      <c r="T318" s="146">
        <v>2031</v>
      </c>
      <c r="U318" s="146">
        <v>2032</v>
      </c>
      <c r="V318" s="146">
        <v>2033</v>
      </c>
      <c r="W318" s="146">
        <v>2034</v>
      </c>
      <c r="X318" s="146">
        <v>2035</v>
      </c>
      <c r="Y318" s="146">
        <v>2036</v>
      </c>
      <c r="Z318" s="146">
        <v>2037</v>
      </c>
      <c r="AA318" s="146">
        <v>2038</v>
      </c>
      <c r="AB318" s="146">
        <v>2039</v>
      </c>
      <c r="AC318" s="146">
        <v>2040</v>
      </c>
      <c r="AD318" s="146">
        <v>2041</v>
      </c>
      <c r="AE318" s="146">
        <v>2042</v>
      </c>
      <c r="AF318" s="146">
        <v>2043</v>
      </c>
      <c r="AG318" s="146">
        <v>2044</v>
      </c>
      <c r="AH318" s="146">
        <v>2045</v>
      </c>
      <c r="AI318" s="146">
        <v>2046</v>
      </c>
      <c r="AJ318" s="146">
        <v>2047</v>
      </c>
      <c r="AK318" s="146">
        <v>2048</v>
      </c>
      <c r="AL318" s="146">
        <v>2049</v>
      </c>
      <c r="AM318" s="146">
        <v>2050</v>
      </c>
      <c r="AN318" s="146">
        <v>2051</v>
      </c>
      <c r="AO318" s="146">
        <v>2052</v>
      </c>
      <c r="AP318" s="146">
        <v>2053</v>
      </c>
      <c r="AQ318" s="146">
        <v>2054</v>
      </c>
      <c r="AR318" s="146">
        <v>2055</v>
      </c>
    </row>
    <row r="319" spans="1:44" x14ac:dyDescent="0.2">
      <c r="A319" s="184"/>
      <c r="B319" s="185"/>
      <c r="C319" s="185"/>
      <c r="D319" s="186"/>
      <c r="E319" s="185"/>
      <c r="F319" s="185"/>
      <c r="G319" s="187"/>
      <c r="H319" s="187"/>
      <c r="I319" s="187"/>
      <c r="J319" s="187"/>
      <c r="K319" s="188"/>
      <c r="L319" s="188"/>
      <c r="M319" s="188"/>
      <c r="N319" s="188"/>
      <c r="O319" s="185"/>
      <c r="P319" s="185"/>
      <c r="Q319" s="185"/>
      <c r="R319" s="185"/>
      <c r="S319" s="185"/>
      <c r="T319" s="185"/>
      <c r="U319" s="185"/>
      <c r="V319" s="185"/>
      <c r="W319" s="185"/>
      <c r="X319" s="185"/>
      <c r="Y319" s="185"/>
      <c r="Z319" s="185"/>
      <c r="AA319" s="185"/>
      <c r="AB319" s="185"/>
      <c r="AC319" s="185"/>
      <c r="AD319" s="185"/>
      <c r="AE319" s="185"/>
      <c r="AF319" s="185"/>
      <c r="AG319" s="185"/>
      <c r="AH319" s="185"/>
      <c r="AI319" s="185"/>
      <c r="AJ319" s="185"/>
      <c r="AK319" s="185"/>
      <c r="AL319" s="185"/>
      <c r="AM319" s="185"/>
      <c r="AN319" s="185"/>
      <c r="AO319" s="185"/>
      <c r="AP319" s="185"/>
      <c r="AQ319" s="185"/>
      <c r="AR319" s="185"/>
    </row>
    <row r="320" spans="1:44" x14ac:dyDescent="0.2">
      <c r="B320" s="150"/>
      <c r="C320" s="150"/>
      <c r="D320" s="228"/>
      <c r="E320" s="150"/>
      <c r="F320" s="198"/>
      <c r="G320" s="150"/>
      <c r="H320" s="150"/>
      <c r="I320" s="150"/>
      <c r="J320" s="150"/>
      <c r="K320" s="150"/>
      <c r="L320" s="150"/>
      <c r="M320" s="150"/>
      <c r="N320" s="150"/>
      <c r="O320" s="150"/>
      <c r="P320" s="150"/>
      <c r="Q320" s="150"/>
      <c r="R320" s="150"/>
      <c r="S320" s="150"/>
      <c r="T320" s="150"/>
      <c r="U320" s="150"/>
      <c r="V320" s="150"/>
      <c r="W320" s="150"/>
      <c r="X320" s="150"/>
      <c r="Y320" s="150"/>
      <c r="Z320" s="150"/>
      <c r="AA320" s="150"/>
      <c r="AB320" s="150"/>
      <c r="AC320" s="150"/>
      <c r="AD320" s="150"/>
      <c r="AE320" s="150"/>
      <c r="AF320" s="150"/>
      <c r="AG320" s="150"/>
      <c r="AH320" s="150"/>
      <c r="AI320" s="150"/>
      <c r="AJ320" s="150"/>
      <c r="AK320" s="150"/>
      <c r="AL320" s="150"/>
      <c r="AM320" s="150"/>
      <c r="AN320" s="150"/>
      <c r="AO320" s="150"/>
      <c r="AP320" s="150"/>
      <c r="AQ320" s="150"/>
      <c r="AR320" s="150"/>
    </row>
    <row r="321" spans="2:44" x14ac:dyDescent="0.2">
      <c r="B321" s="154">
        <v>1</v>
      </c>
      <c r="C321" s="137" t="s">
        <v>220</v>
      </c>
      <c r="D321" s="155" t="s">
        <v>221</v>
      </c>
      <c r="G321" s="238">
        <v>0</v>
      </c>
      <c r="H321" s="238">
        <v>0</v>
      </c>
      <c r="I321" s="238">
        <v>0</v>
      </c>
      <c r="J321" s="238">
        <v>0</v>
      </c>
      <c r="K321" s="238">
        <v>0.84526849315068497</v>
      </c>
      <c r="L321" s="238">
        <v>0.93732967032967041</v>
      </c>
      <c r="M321" s="238">
        <v>0.95096406771428543</v>
      </c>
      <c r="N321" s="238">
        <v>1.2727536572205587</v>
      </c>
      <c r="O321" s="238">
        <v>1.2983221974795516</v>
      </c>
      <c r="P321" s="238">
        <v>1.3244227960892909</v>
      </c>
      <c r="Q321" s="238">
        <v>1.3510666211380054</v>
      </c>
      <c r="R321" s="238">
        <v>1.378265075623631</v>
      </c>
      <c r="S321" s="238">
        <v>1.4069033499603159</v>
      </c>
      <c r="T321" s="238">
        <v>1.4718153602749606</v>
      </c>
      <c r="U321" s="238">
        <v>1.5397625572955285</v>
      </c>
      <c r="V321" s="238">
        <v>1.6108895803250607</v>
      </c>
      <c r="W321" s="238">
        <v>1.6853481447950591</v>
      </c>
      <c r="X321" s="238">
        <v>1.7457870847575503</v>
      </c>
      <c r="Y321" s="238">
        <v>1.806056785788817</v>
      </c>
      <c r="Z321" s="238">
        <v>1.8684472677145636</v>
      </c>
      <c r="AA321" s="238">
        <v>1.9018060966517147</v>
      </c>
      <c r="AB321" s="238">
        <v>1.9310498285791062</v>
      </c>
      <c r="AC321" s="238">
        <v>1.9580692132080917</v>
      </c>
      <c r="AD321" s="238">
        <v>1.9815945014167302</v>
      </c>
      <c r="AE321" s="238">
        <v>2.0054041671951603</v>
      </c>
      <c r="AF321" s="238">
        <v>2.0295016594069017</v>
      </c>
      <c r="AG321" s="238">
        <v>2.0538904688243513</v>
      </c>
      <c r="AH321" s="238">
        <v>2.0785741286387003</v>
      </c>
      <c r="AI321" s="238">
        <v>2.1035562149760678</v>
      </c>
      <c r="AJ321" s="238">
        <v>2.1288403474199153</v>
      </c>
      <c r="AK321" s="238">
        <v>2.154430189539827</v>
      </c>
      <c r="AL321" s="238">
        <v>2.1803294494267313</v>
      </c>
      <c r="AM321" s="238">
        <v>2.206541880234635</v>
      </c>
      <c r="AN321" s="238">
        <v>2.2330712807289625</v>
      </c>
      <c r="AO321" s="238">
        <v>2.259921495841573</v>
      </c>
      <c r="AP321" s="238">
        <v>2.2870964172325277</v>
      </c>
      <c r="AQ321" s="238">
        <v>2.3145999838587135</v>
      </c>
      <c r="AR321" s="238">
        <v>2.3424361825493847</v>
      </c>
    </row>
    <row r="322" spans="2:44" x14ac:dyDescent="0.2">
      <c r="B322" s="154">
        <v>2</v>
      </c>
      <c r="C322" s="137" t="s">
        <v>222</v>
      </c>
      <c r="D322" s="155" t="s">
        <v>223</v>
      </c>
      <c r="G322" s="238">
        <v>0</v>
      </c>
      <c r="H322" s="238">
        <v>0</v>
      </c>
      <c r="I322" s="238">
        <v>0</v>
      </c>
      <c r="J322" s="238">
        <v>0</v>
      </c>
      <c r="K322" s="238">
        <v>1.649266168</v>
      </c>
      <c r="L322" s="238">
        <v>1.6657588296799999</v>
      </c>
      <c r="M322" s="238">
        <v>1.6657588296800001</v>
      </c>
      <c r="N322" s="238">
        <v>2.4313903508933672</v>
      </c>
      <c r="O322" s="238">
        <v>2.4825654458721447</v>
      </c>
      <c r="P322" s="238">
        <v>2.5348176572198029</v>
      </c>
      <c r="Q322" s="238">
        <v>2.5881696557232279</v>
      </c>
      <c r="R322" s="238">
        <v>2.6426445893364838</v>
      </c>
      <c r="S322" s="238">
        <v>2.6982660932240661</v>
      </c>
      <c r="T322" s="238">
        <v>2.8201922151688081</v>
      </c>
      <c r="U322" s="238">
        <v>2.9476277934454576</v>
      </c>
      <c r="V322" s="238">
        <v>3.0808217829833517</v>
      </c>
      <c r="W322" s="238">
        <v>3.2200343881987306</v>
      </c>
      <c r="X322" s="238">
        <v>3.3655375713235172</v>
      </c>
      <c r="Y322" s="238">
        <v>3.4624905961822847</v>
      </c>
      <c r="Z322" s="238">
        <v>3.5086374275802359</v>
      </c>
      <c r="AA322" s="238">
        <v>3.5553992873772282</v>
      </c>
      <c r="AB322" s="238">
        <v>3.6027843724509321</v>
      </c>
      <c r="AC322" s="238">
        <v>3.6508009889240514</v>
      </c>
      <c r="AD322" s="238">
        <v>3.695435571406072</v>
      </c>
      <c r="AE322" s="238">
        <v>3.7406158549436692</v>
      </c>
      <c r="AF322" s="238">
        <v>3.7863485112614379</v>
      </c>
      <c r="AG322" s="238">
        <v>3.8326402936522928</v>
      </c>
      <c r="AH322" s="238">
        <v>3.8794980379746842</v>
      </c>
      <c r="AI322" s="238">
        <v>3.9269286636620775</v>
      </c>
      <c r="AJ322" s="238">
        <v>3.9749391747447156</v>
      </c>
      <c r="AK322" s="238">
        <v>4.0235366608839005</v>
      </c>
      <c r="AL322" s="238">
        <v>4.0727282984189248</v>
      </c>
      <c r="AM322" s="238">
        <v>4.1225213514267862</v>
      </c>
      <c r="AN322" s="238">
        <v>4.1729231727948646</v>
      </c>
      <c r="AO322" s="238">
        <v>4.2239412053067253</v>
      </c>
      <c r="AP322" s="238">
        <v>4.2755829827411711</v>
      </c>
      <c r="AQ322" s="238">
        <v>4.3278561309847658</v>
      </c>
      <c r="AR322" s="238">
        <v>4.3807683691579298</v>
      </c>
    </row>
    <row r="323" spans="2:44" x14ac:dyDescent="0.2">
      <c r="B323" s="154">
        <v>3</v>
      </c>
      <c r="C323" s="137" t="s">
        <v>224</v>
      </c>
      <c r="D323" s="155" t="s">
        <v>225</v>
      </c>
      <c r="G323" s="238">
        <v>0</v>
      </c>
      <c r="H323" s="238">
        <v>0</v>
      </c>
      <c r="I323" s="238">
        <v>0</v>
      </c>
      <c r="J323" s="238">
        <v>0</v>
      </c>
      <c r="K323" s="238">
        <v>2.0661269999999998</v>
      </c>
      <c r="L323" s="238">
        <v>2.0661269999999994</v>
      </c>
      <c r="M323" s="238">
        <v>2.0661269999999998</v>
      </c>
      <c r="N323" s="238">
        <v>2.276334925375</v>
      </c>
      <c r="O323" s="238">
        <v>2.3049781237932563</v>
      </c>
      <c r="P323" s="238">
        <v>2.3340364334608017</v>
      </c>
      <c r="Q323" s="238">
        <v>2.3635162341727352</v>
      </c>
      <c r="R323" s="238">
        <v>2.3934240059790959</v>
      </c>
      <c r="S323" s="238">
        <v>2.4910751611392481</v>
      </c>
      <c r="T323" s="238">
        <v>2.5630221845125063</v>
      </c>
      <c r="U323" s="238">
        <v>2.6185561129806114</v>
      </c>
      <c r="V323" s="238">
        <v>2.6756378852734302</v>
      </c>
      <c r="W323" s="238">
        <v>2.734319677384649</v>
      </c>
      <c r="X323" s="238">
        <v>2.7706751311665689</v>
      </c>
      <c r="Y323" s="238">
        <v>2.8043800503955709</v>
      </c>
      <c r="Z323" s="238">
        <v>2.838501960245118</v>
      </c>
      <c r="AA323" s="238">
        <v>2.8730460960520663</v>
      </c>
      <c r="AB323" s="238">
        <v>2.9080177597063193</v>
      </c>
      <c r="AC323" s="238">
        <v>2.9434223205056038</v>
      </c>
      <c r="AD323" s="238">
        <v>2.9771435178885115</v>
      </c>
      <c r="AE323" s="238">
        <v>3.0112543396618978</v>
      </c>
      <c r="AF323" s="238">
        <v>3.0457593228622901</v>
      </c>
      <c r="AG323" s="238">
        <v>3.0806630577308898</v>
      </c>
      <c r="AH323" s="238">
        <v>3.1114472323951592</v>
      </c>
      <c r="AI323" s="238">
        <v>3.1425716570036415</v>
      </c>
      <c r="AJ323" s="238">
        <v>3.1740402936911356</v>
      </c>
      <c r="AK323" s="238">
        <v>3.2058571518729422</v>
      </c>
      <c r="AL323" s="238">
        <v>3.2380262888153979</v>
      </c>
      <c r="AM323" s="238">
        <v>3.270551810213318</v>
      </c>
      <c r="AN323" s="238">
        <v>3.3034378707744598</v>
      </c>
      <c r="AO323" s="238">
        <v>3.3366886748110716</v>
      </c>
      <c r="AP323" s="238">
        <v>3.3703084768386011</v>
      </c>
      <c r="AQ323" s="238">
        <v>3.4043015821816978</v>
      </c>
      <c r="AR323" s="238">
        <v>3.4386723475875369</v>
      </c>
    </row>
    <row r="324" spans="2:44" x14ac:dyDescent="0.2">
      <c r="B324" s="154">
        <v>4</v>
      </c>
      <c r="C324" s="137" t="s">
        <v>226</v>
      </c>
      <c r="D324" s="155" t="s">
        <v>227</v>
      </c>
      <c r="G324" s="238">
        <v>0</v>
      </c>
      <c r="H324" s="238">
        <v>0</v>
      </c>
      <c r="I324" s="238">
        <v>0</v>
      </c>
      <c r="J324" s="238">
        <v>0</v>
      </c>
      <c r="K324" s="238">
        <v>2.1520557577849373</v>
      </c>
      <c r="L324" s="238">
        <v>2.1520557577849377</v>
      </c>
      <c r="M324" s="238">
        <v>2.1520557577849373</v>
      </c>
      <c r="N324" s="238">
        <v>6.3961479376527031</v>
      </c>
      <c r="O324" s="238">
        <v>6.4996339938152854</v>
      </c>
      <c r="P324" s="238">
        <v>6.6054520531518017</v>
      </c>
      <c r="Q324" s="238">
        <v>6.7136606350524053</v>
      </c>
      <c r="R324" s="238">
        <v>6.8243197703139034</v>
      </c>
      <c r="S324" s="238">
        <v>7.1096434353932905</v>
      </c>
      <c r="T324" s="238">
        <v>7.4077385505749014</v>
      </c>
      <c r="U324" s="238">
        <v>7.7240042261614201</v>
      </c>
      <c r="V324" s="238">
        <v>8.0595986510073025</v>
      </c>
      <c r="W324" s="238">
        <v>8.4157544714726722</v>
      </c>
      <c r="X324" s="238">
        <v>8.6769237387783313</v>
      </c>
      <c r="Y324" s="238">
        <v>8.9414665680513181</v>
      </c>
      <c r="Z324" s="238">
        <v>9.2166918301172629</v>
      </c>
      <c r="AA324" s="238">
        <v>9.5092642987700913</v>
      </c>
      <c r="AB324" s="238">
        <v>9.8141327809004686</v>
      </c>
      <c r="AC324" s="238">
        <v>10.13118012382407</v>
      </c>
      <c r="AD324" s="238">
        <v>10.453533572074598</v>
      </c>
      <c r="AE324" s="238">
        <v>10.788909496782788</v>
      </c>
      <c r="AF324" s="238">
        <v>11.137854330912035</v>
      </c>
      <c r="AG324" s="238">
        <v>11.506208727659565</v>
      </c>
      <c r="AH324" s="238">
        <v>11.886501417877678</v>
      </c>
      <c r="AI324" s="238">
        <v>12.011757071194076</v>
      </c>
      <c r="AJ324" s="238">
        <v>12.138443605214558</v>
      </c>
      <c r="AK324" s="238">
        <v>12.266578003313406</v>
      </c>
      <c r="AL324" s="238">
        <v>12.396177453869738</v>
      </c>
      <c r="AM324" s="238">
        <v>12.527259352759906</v>
      </c>
      <c r="AN324" s="238">
        <v>12.659841305880297</v>
      </c>
      <c r="AO324" s="238">
        <v>12.793941131700914</v>
      </c>
      <c r="AP324" s="238">
        <v>12.929576863850061</v>
      </c>
      <c r="AQ324" s="238">
        <v>13.066766753730601</v>
      </c>
      <c r="AR324" s="238">
        <v>13.205529273168068</v>
      </c>
    </row>
    <row r="325" spans="2:44" x14ac:dyDescent="0.2">
      <c r="B325" s="154">
        <v>5</v>
      </c>
      <c r="C325" s="137" t="s">
        <v>228</v>
      </c>
      <c r="D325" s="155" t="s">
        <v>221</v>
      </c>
      <c r="G325" s="238">
        <v>0</v>
      </c>
      <c r="H325" s="238">
        <v>0</v>
      </c>
      <c r="I325" s="238">
        <v>0</v>
      </c>
      <c r="J325" s="238">
        <v>0</v>
      </c>
      <c r="K325" s="238">
        <v>1.1222622534049829</v>
      </c>
      <c r="L325" s="238">
        <v>1.130231248512187</v>
      </c>
      <c r="M325" s="238">
        <v>1.1341446482421382</v>
      </c>
      <c r="N325" s="238">
        <v>3.5862275188306705</v>
      </c>
      <c r="O325" s="238">
        <v>3.6405441735255333</v>
      </c>
      <c r="P325" s="238">
        <v>3.6957184318910867</v>
      </c>
      <c r="Q325" s="238">
        <v>3.7517638908419686</v>
      </c>
      <c r="R325" s="238">
        <v>3.8120489230248604</v>
      </c>
      <c r="S325" s="238">
        <v>3.8754684106235215</v>
      </c>
      <c r="T325" s="238">
        <v>3.9335225963187934</v>
      </c>
      <c r="U325" s="238">
        <v>3.9925150147683017</v>
      </c>
      <c r="V325" s="238">
        <v>4.0524619673243159</v>
      </c>
      <c r="W325" s="238">
        <v>4.1114161984699704</v>
      </c>
      <c r="X325" s="238">
        <v>4.1712603228681129</v>
      </c>
      <c r="Y325" s="238">
        <v>4.2265630542733659</v>
      </c>
      <c r="Z325" s="238">
        <v>4.2826301067089378</v>
      </c>
      <c r="AA325" s="238">
        <v>4.3394722120927476</v>
      </c>
      <c r="AB325" s="238">
        <v>4.3949319837313023</v>
      </c>
      <c r="AC325" s="238">
        <v>4.4511236880599672</v>
      </c>
      <c r="AD325" s="238">
        <v>4.5039051570415891</v>
      </c>
      <c r="AE325" s="238">
        <v>4.5580751227810357</v>
      </c>
      <c r="AF325" s="238">
        <v>4.6129023961262163</v>
      </c>
      <c r="AG325" s="238">
        <v>4.6683949635724673</v>
      </c>
      <c r="AH325" s="238">
        <v>4.7245609087605001</v>
      </c>
      <c r="AI325" s="238">
        <v>4.7814084136591291</v>
      </c>
      <c r="AJ325" s="238">
        <v>4.8389457597623942</v>
      </c>
      <c r="AK325" s="238">
        <v>4.8971813293012909</v>
      </c>
      <c r="AL325" s="238">
        <v>4.9561236064702499</v>
      </c>
      <c r="AM325" s="238">
        <v>5.0157811786685658</v>
      </c>
      <c r="AN325" s="238">
        <v>5.0761627377569445</v>
      </c>
      <c r="AO325" s="238">
        <v>5.1372770813293771</v>
      </c>
      <c r="AP325" s="238">
        <v>5.1991331140004915</v>
      </c>
      <c r="AQ325" s="238">
        <v>5.2617398487086007</v>
      </c>
      <c r="AR325" s="238">
        <v>5.3251064080346282</v>
      </c>
    </row>
    <row r="326" spans="2:44" x14ac:dyDescent="0.2">
      <c r="B326" s="154">
        <v>6</v>
      </c>
      <c r="C326" s="137" t="s">
        <v>229</v>
      </c>
      <c r="D326" s="155" t="s">
        <v>230</v>
      </c>
      <c r="G326" s="238">
        <v>0</v>
      </c>
      <c r="H326" s="238">
        <v>0</v>
      </c>
      <c r="I326" s="238">
        <v>0</v>
      </c>
      <c r="J326" s="238">
        <v>0</v>
      </c>
      <c r="K326" s="238">
        <v>4.0340794520547938</v>
      </c>
      <c r="L326" s="238">
        <v>3.1804065934065933</v>
      </c>
      <c r="M326" s="238">
        <v>3.0264334901190271</v>
      </c>
      <c r="N326" s="238">
        <v>9.5724997587150753</v>
      </c>
      <c r="O326" s="238">
        <v>9.8807741140591112</v>
      </c>
      <c r="P326" s="238">
        <v>10.18552116979982</v>
      </c>
      <c r="Q326" s="238">
        <v>10.499396981776755</v>
      </c>
      <c r="R326" s="238">
        <v>10.822849549791194</v>
      </c>
      <c r="S326" s="238">
        <v>11.270438710766598</v>
      </c>
      <c r="T326" s="238">
        <v>11.738021754533126</v>
      </c>
      <c r="U326" s="238">
        <v>12.256026995442832</v>
      </c>
      <c r="V326" s="238">
        <v>12.79825391023142</v>
      </c>
      <c r="W326" s="238">
        <v>13.352230329881209</v>
      </c>
      <c r="X326" s="238">
        <v>13.614369662234482</v>
      </c>
      <c r="Y326" s="238">
        <v>13.898077587074827</v>
      </c>
      <c r="Z326" s="238">
        <v>14.161086973109674</v>
      </c>
      <c r="AA326" s="238">
        <v>14.454183304528508</v>
      </c>
      <c r="AB326" s="238">
        <v>14.73961183079123</v>
      </c>
      <c r="AC326" s="238">
        <v>14.997225443665599</v>
      </c>
      <c r="AD326" s="238">
        <v>15.249199468368237</v>
      </c>
      <c r="AE326" s="238">
        <v>15.489458907597509</v>
      </c>
      <c r="AF326" s="238">
        <v>15.743474310130576</v>
      </c>
      <c r="AG326" s="238">
        <v>15.973070275976969</v>
      </c>
      <c r="AH326" s="238">
        <v>16.267363741848555</v>
      </c>
      <c r="AI326" s="238">
        <v>16.537262729013428</v>
      </c>
      <c r="AJ326" s="238">
        <v>16.808238380119139</v>
      </c>
      <c r="AK326" s="238">
        <v>17.093032771883102</v>
      </c>
      <c r="AL326" s="238">
        <v>17.378929698029133</v>
      </c>
      <c r="AM326" s="238">
        <v>17.665942327901593</v>
      </c>
      <c r="AN326" s="238">
        <v>17.979542427274676</v>
      </c>
      <c r="AO326" s="238">
        <v>18.281555827874442</v>
      </c>
      <c r="AP326" s="238">
        <v>18.587276745704109</v>
      </c>
      <c r="AQ326" s="238">
        <v>18.921242909053628</v>
      </c>
      <c r="AR326" s="238">
        <v>19.243714781581044</v>
      </c>
    </row>
    <row r="327" spans="2:44" x14ac:dyDescent="0.2">
      <c r="B327" s="154">
        <v>7</v>
      </c>
      <c r="C327" s="137" t="s">
        <v>231</v>
      </c>
      <c r="D327" s="155" t="s">
        <v>225</v>
      </c>
      <c r="G327" s="238">
        <v>0</v>
      </c>
      <c r="H327" s="238">
        <v>0</v>
      </c>
      <c r="I327" s="238">
        <v>0</v>
      </c>
      <c r="J327" s="238">
        <v>0</v>
      </c>
      <c r="K327" s="238">
        <v>0.73886027397260268</v>
      </c>
      <c r="L327" s="238">
        <v>0.91221487603305773</v>
      </c>
      <c r="M327" s="238">
        <v>0.91440688835263351</v>
      </c>
      <c r="N327" s="238">
        <v>0.9349525712488429</v>
      </c>
      <c r="O327" s="238">
        <v>0.95099605472617754</v>
      </c>
      <c r="P327" s="238">
        <v>0.96830205876476771</v>
      </c>
      <c r="Q327" s="238">
        <v>0.98597750170371334</v>
      </c>
      <c r="R327" s="238">
        <v>1.0040310618443795</v>
      </c>
      <c r="S327" s="238">
        <v>1.0460832229086019</v>
      </c>
      <c r="T327" s="238">
        <v>1.0895206173570855</v>
      </c>
      <c r="U327" s="238">
        <v>1.1378709579533182</v>
      </c>
      <c r="V327" s="238">
        <v>1.1882021096467628</v>
      </c>
      <c r="W327" s="238">
        <v>1.2409638201581406</v>
      </c>
      <c r="X327" s="238">
        <v>1.2857488345846122</v>
      </c>
      <c r="Y327" s="238">
        <v>1.3022532023299831</v>
      </c>
      <c r="Z327" s="238">
        <v>1.319001486540841</v>
      </c>
      <c r="AA327" s="238">
        <v>1.3359974272517363</v>
      </c>
      <c r="AB327" s="238">
        <v>1.3532448242287245</v>
      </c>
      <c r="AC327" s="238">
        <v>1.3707467811681602</v>
      </c>
      <c r="AD327" s="238">
        <v>1.3853481552121516</v>
      </c>
      <c r="AE327" s="238">
        <v>1.4001227776954193</v>
      </c>
      <c r="AF327" s="238">
        <v>1.4150727140729591</v>
      </c>
      <c r="AG327" s="238">
        <v>1.4302000545252076</v>
      </c>
      <c r="AH327" s="238">
        <v>1.4455069142550629</v>
      </c>
      <c r="AI327" s="238">
        <v>1.4620825396244057</v>
      </c>
      <c r="AJ327" s="238">
        <v>1.4786958157443391</v>
      </c>
      <c r="AK327" s="238">
        <v>1.4955066136989694</v>
      </c>
      <c r="AL327" s="238">
        <v>1.5133023414910096</v>
      </c>
      <c r="AM327" s="238">
        <v>1.5312278294436537</v>
      </c>
      <c r="AN327" s="238">
        <v>1.5493667128628121</v>
      </c>
      <c r="AO327" s="238">
        <v>1.5677215431049336</v>
      </c>
      <c r="AP327" s="238">
        <v>1.5862949021431754</v>
      </c>
      <c r="AQ327" s="238">
        <v>1.605089402935953</v>
      </c>
      <c r="AR327" s="238">
        <v>1.6241076897999598</v>
      </c>
    </row>
    <row r="328" spans="2:44" x14ac:dyDescent="0.2">
      <c r="B328" s="154">
        <v>8</v>
      </c>
      <c r="C328" s="137" t="s">
        <v>232</v>
      </c>
      <c r="D328" s="155" t="s">
        <v>233</v>
      </c>
      <c r="G328" s="238">
        <v>0</v>
      </c>
      <c r="H328" s="238">
        <v>0</v>
      </c>
      <c r="I328" s="238">
        <v>0</v>
      </c>
      <c r="J328" s="238">
        <v>0</v>
      </c>
      <c r="K328" s="238">
        <v>3.8871315068493151</v>
      </c>
      <c r="L328" s="238">
        <v>5.1381098901098898</v>
      </c>
      <c r="M328" s="238">
        <v>5.1514536037408414</v>
      </c>
      <c r="N328" s="238">
        <v>28.616026538739611</v>
      </c>
      <c r="O328" s="238">
        <v>28.977065828210417</v>
      </c>
      <c r="P328" s="238">
        <v>29.34401726822707</v>
      </c>
      <c r="Q328" s="238">
        <v>29.716981871322304</v>
      </c>
      <c r="R328" s="238">
        <v>30.096062465860637</v>
      </c>
      <c r="S328" s="238">
        <v>30.483625828164264</v>
      </c>
      <c r="T328" s="238">
        <v>30.84956421169591</v>
      </c>
      <c r="U328" s="238">
        <v>31.221170489443381</v>
      </c>
      <c r="V328" s="238">
        <v>31.598538294047138</v>
      </c>
      <c r="W328" s="238">
        <v>31.981762943538406</v>
      </c>
      <c r="X328" s="238">
        <v>32.369630280135965</v>
      </c>
      <c r="Y328" s="238">
        <v>32.728539238225878</v>
      </c>
      <c r="Z328" s="238">
        <v>33.092552405585195</v>
      </c>
      <c r="AA328" s="238">
        <v>33.461748941741646</v>
      </c>
      <c r="AB328" s="238">
        <v>33.836209394105801</v>
      </c>
      <c r="AC328" s="238">
        <v>34.214568060930787</v>
      </c>
      <c r="AD328" s="238">
        <v>34.569281449592218</v>
      </c>
      <c r="AE328" s="238">
        <v>34.928722717898488</v>
      </c>
      <c r="AF328" s="238">
        <v>35.29296299425026</v>
      </c>
      <c r="AG328" s="238">
        <v>35.662074679152589</v>
      </c>
      <c r="AH328" s="238">
        <v>36.036131472856404</v>
      </c>
      <c r="AI328" s="238">
        <v>36.415208403700809</v>
      </c>
      <c r="AJ328" s="238">
        <v>36.799381857175433</v>
      </c>
      <c r="AK328" s="238">
        <v>37.188729605723154</v>
      </c>
      <c r="AL328" s="238">
        <v>37.583330839303486</v>
      </c>
      <c r="AM328" s="238">
        <v>37.983266196738064</v>
      </c>
      <c r="AN328" s="238">
        <v>38.388617797859858</v>
      </c>
      <c r="AO328" s="238">
        <v>38.799469276488722</v>
      </c>
      <c r="AP328" s="238">
        <v>39.215905814256189</v>
      </c>
      <c r="AQ328" s="238">
        <v>39.638014175303567</v>
      </c>
      <c r="AR328" s="238">
        <v>40.065882741877417</v>
      </c>
    </row>
    <row r="329" spans="2:44" x14ac:dyDescent="0.2">
      <c r="B329" s="157"/>
      <c r="C329" s="158" t="s">
        <v>84</v>
      </c>
      <c r="D329" s="159"/>
      <c r="E329" s="158"/>
      <c r="F329" s="158"/>
      <c r="G329" s="183">
        <v>0</v>
      </c>
      <c r="H329" s="183">
        <v>0</v>
      </c>
      <c r="I329" s="183">
        <v>0</v>
      </c>
      <c r="J329" s="183">
        <v>0</v>
      </c>
      <c r="K329" s="183">
        <v>16.495050905217315</v>
      </c>
      <c r="L329" s="183">
        <v>17.182233865856336</v>
      </c>
      <c r="M329" s="183">
        <v>17.061344285633862</v>
      </c>
      <c r="N329" s="183">
        <v>55.086333258675829</v>
      </c>
      <c r="O329" s="183">
        <v>56.034879931481477</v>
      </c>
      <c r="P329" s="183">
        <v>56.992287868604443</v>
      </c>
      <c r="Q329" s="183">
        <v>57.970533391731117</v>
      </c>
      <c r="R329" s="183">
        <v>58.973645441774181</v>
      </c>
      <c r="S329" s="183">
        <v>60.381504212179905</v>
      </c>
      <c r="T329" s="183">
        <v>61.873397490436091</v>
      </c>
      <c r="U329" s="183">
        <v>63.437534147490851</v>
      </c>
      <c r="V329" s="183">
        <v>65.064404180838778</v>
      </c>
      <c r="W329" s="183">
        <v>66.741829973898831</v>
      </c>
      <c r="X329" s="183">
        <v>67.999932625849141</v>
      </c>
      <c r="Y329" s="183">
        <v>69.169827082322058</v>
      </c>
      <c r="Z329" s="183">
        <v>70.287549457601827</v>
      </c>
      <c r="AA329" s="183">
        <v>71.430917664465738</v>
      </c>
      <c r="AB329" s="183">
        <v>72.579982774493885</v>
      </c>
      <c r="AC329" s="183">
        <v>73.717136620286325</v>
      </c>
      <c r="AD329" s="183">
        <v>74.8154413930001</v>
      </c>
      <c r="AE329" s="183">
        <v>75.922563384555971</v>
      </c>
      <c r="AF329" s="183">
        <v>77.063876239022676</v>
      </c>
      <c r="AG329" s="183">
        <v>78.20714252109434</v>
      </c>
      <c r="AH329" s="183">
        <v>79.429583854606747</v>
      </c>
      <c r="AI329" s="183">
        <v>80.380775692833623</v>
      </c>
      <c r="AJ329" s="183">
        <v>81.341525233871636</v>
      </c>
      <c r="AK329" s="183">
        <v>82.324852326216586</v>
      </c>
      <c r="AL329" s="183">
        <v>83.31894797582467</v>
      </c>
      <c r="AM329" s="183">
        <v>84.323091927386514</v>
      </c>
      <c r="AN329" s="183">
        <v>85.36296330593288</v>
      </c>
      <c r="AO329" s="183">
        <v>86.400516236457747</v>
      </c>
      <c r="AP329" s="183">
        <v>87.451175316766324</v>
      </c>
      <c r="AQ329" s="183">
        <v>88.539610786757521</v>
      </c>
      <c r="AR329" s="183">
        <v>89.62621779375597</v>
      </c>
    </row>
    <row r="330" spans="2:44" x14ac:dyDescent="0.2">
      <c r="B330" s="154"/>
      <c r="D330" s="155"/>
      <c r="G330" s="154"/>
      <c r="H330" s="154"/>
      <c r="I330" s="154"/>
      <c r="J330" s="154"/>
      <c r="K330" s="154"/>
      <c r="L330" s="206"/>
      <c r="W330" s="172"/>
    </row>
    <row r="331" spans="2:44" x14ac:dyDescent="0.2">
      <c r="B331" s="139"/>
      <c r="C331" s="140" t="s">
        <v>269</v>
      </c>
      <c r="D331" s="141"/>
      <c r="E331" s="140"/>
      <c r="F331" s="140"/>
      <c r="G331" s="142"/>
      <c r="H331" s="142"/>
      <c r="I331" s="139"/>
      <c r="J331" s="139"/>
      <c r="K331" s="139"/>
      <c r="L331" s="143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0"/>
      <c r="X331" s="144"/>
      <c r="Y331" s="144"/>
      <c r="Z331" s="144"/>
      <c r="AA331" s="144"/>
      <c r="AB331" s="144"/>
      <c r="AC331" s="144"/>
      <c r="AD331" s="144"/>
      <c r="AE331" s="144"/>
      <c r="AF331" s="144"/>
      <c r="AG331" s="144"/>
      <c r="AH331" s="144"/>
      <c r="AI331" s="144"/>
      <c r="AJ331" s="144"/>
      <c r="AK331" s="144"/>
      <c r="AL331" s="144"/>
      <c r="AM331" s="144"/>
      <c r="AN331" s="144"/>
      <c r="AO331" s="144"/>
      <c r="AP331" s="144"/>
      <c r="AQ331" s="144"/>
      <c r="AR331" s="144"/>
    </row>
    <row r="332" spans="2:44" x14ac:dyDescent="0.2">
      <c r="B332" s="230"/>
      <c r="C332" s="146" t="s">
        <v>218</v>
      </c>
      <c r="D332" s="147" t="s">
        <v>219</v>
      </c>
      <c r="E332" s="230"/>
      <c r="F332" s="230"/>
      <c r="G332" s="231">
        <v>2019</v>
      </c>
      <c r="H332" s="231">
        <v>2020</v>
      </c>
      <c r="I332" s="231">
        <v>2021</v>
      </c>
      <c r="J332" s="231">
        <v>2022</v>
      </c>
      <c r="K332" s="231">
        <v>2023</v>
      </c>
      <c r="L332" s="232">
        <v>45352</v>
      </c>
      <c r="M332" s="231">
        <v>2024</v>
      </c>
      <c r="N332" s="230">
        <v>2025</v>
      </c>
      <c r="O332" s="230">
        <v>2026</v>
      </c>
      <c r="P332" s="230">
        <v>2027</v>
      </c>
      <c r="Q332" s="230">
        <v>2028</v>
      </c>
      <c r="R332" s="230">
        <v>2029</v>
      </c>
      <c r="S332" s="230">
        <v>2030</v>
      </c>
      <c r="T332" s="230">
        <v>2031</v>
      </c>
      <c r="U332" s="230">
        <v>2032</v>
      </c>
      <c r="V332" s="230">
        <v>2033</v>
      </c>
      <c r="W332" s="230">
        <v>2034</v>
      </c>
      <c r="X332" s="230">
        <v>2035</v>
      </c>
      <c r="Y332" s="230">
        <v>2036</v>
      </c>
      <c r="Z332" s="230">
        <v>2037</v>
      </c>
      <c r="AA332" s="230">
        <v>2038</v>
      </c>
      <c r="AB332" s="230">
        <v>2039</v>
      </c>
      <c r="AC332" s="230">
        <v>2040</v>
      </c>
      <c r="AD332" s="230">
        <v>2041</v>
      </c>
      <c r="AE332" s="230">
        <v>2042</v>
      </c>
      <c r="AF332" s="230">
        <v>2043</v>
      </c>
      <c r="AG332" s="230">
        <v>2044</v>
      </c>
      <c r="AH332" s="230">
        <v>2045</v>
      </c>
      <c r="AI332" s="230">
        <v>2046</v>
      </c>
      <c r="AJ332" s="230">
        <v>2047</v>
      </c>
      <c r="AK332" s="230">
        <v>2048</v>
      </c>
      <c r="AL332" s="230">
        <v>2049</v>
      </c>
      <c r="AM332" s="230">
        <v>2050</v>
      </c>
      <c r="AN332" s="230">
        <v>2051</v>
      </c>
      <c r="AO332" s="230">
        <v>2052</v>
      </c>
      <c r="AP332" s="230">
        <v>2053</v>
      </c>
      <c r="AQ332" s="230">
        <v>2054</v>
      </c>
      <c r="AR332" s="230">
        <v>2055</v>
      </c>
    </row>
    <row r="333" spans="2:44" x14ac:dyDescent="0.2">
      <c r="B333" s="150"/>
      <c r="C333" s="150"/>
      <c r="D333" s="151"/>
      <c r="E333" s="150"/>
      <c r="F333" s="150"/>
      <c r="G333" s="152"/>
      <c r="H333" s="152"/>
      <c r="I333" s="152"/>
      <c r="J333" s="152"/>
      <c r="K333" s="152"/>
      <c r="L333" s="153"/>
      <c r="M333" s="152"/>
      <c r="N333" s="150"/>
      <c r="O333" s="150"/>
      <c r="P333" s="150"/>
      <c r="Q333" s="150"/>
      <c r="R333" s="150"/>
      <c r="S333" s="150"/>
      <c r="T333" s="150"/>
      <c r="U333" s="150"/>
      <c r="V333" s="150"/>
      <c r="W333" s="150"/>
      <c r="X333" s="150"/>
      <c r="Y333" s="150"/>
      <c r="Z333" s="150"/>
      <c r="AA333" s="150"/>
      <c r="AB333" s="150"/>
      <c r="AC333" s="150"/>
      <c r="AD333" s="150"/>
      <c r="AE333" s="150"/>
      <c r="AF333" s="150"/>
      <c r="AG333" s="150"/>
      <c r="AH333" s="150"/>
      <c r="AI333" s="150"/>
      <c r="AJ333" s="150"/>
      <c r="AK333" s="150"/>
      <c r="AL333" s="150"/>
      <c r="AM333" s="150"/>
      <c r="AN333" s="150"/>
      <c r="AO333" s="150"/>
      <c r="AP333" s="150"/>
      <c r="AQ333" s="150"/>
      <c r="AR333" s="150"/>
    </row>
    <row r="334" spans="2:44" x14ac:dyDescent="0.2">
      <c r="B334" s="150"/>
      <c r="C334" s="150"/>
      <c r="D334" s="228"/>
      <c r="E334" s="150"/>
      <c r="F334" s="198"/>
      <c r="G334" s="150" t="s">
        <v>243</v>
      </c>
      <c r="H334" s="150" t="s">
        <v>243</v>
      </c>
      <c r="I334" s="150" t="s">
        <v>243</v>
      </c>
      <c r="J334" s="150" t="s">
        <v>243</v>
      </c>
      <c r="K334" s="150" t="s">
        <v>243</v>
      </c>
      <c r="L334" s="150" t="s">
        <v>244</v>
      </c>
      <c r="M334" s="150" t="s">
        <v>245</v>
      </c>
      <c r="N334" s="150"/>
      <c r="O334" s="150"/>
      <c r="P334" s="150"/>
      <c r="Q334" s="150"/>
      <c r="R334" s="150"/>
      <c r="S334" s="150"/>
      <c r="T334" s="150"/>
      <c r="U334" s="150"/>
      <c r="V334" s="150"/>
      <c r="W334" s="150"/>
      <c r="X334" s="150"/>
      <c r="Y334" s="150"/>
      <c r="Z334" s="150"/>
      <c r="AA334" s="150"/>
      <c r="AB334" s="150"/>
      <c r="AC334" s="150"/>
      <c r="AD334" s="150"/>
      <c r="AE334" s="150"/>
      <c r="AF334" s="150"/>
      <c r="AG334" s="150"/>
      <c r="AH334" s="150"/>
      <c r="AI334" s="150"/>
      <c r="AJ334" s="150"/>
      <c r="AK334" s="150"/>
      <c r="AL334" s="150"/>
      <c r="AM334" s="150"/>
      <c r="AN334" s="150"/>
      <c r="AO334" s="150"/>
      <c r="AP334" s="150"/>
      <c r="AQ334" s="150"/>
      <c r="AR334" s="150"/>
    </row>
    <row r="335" spans="2:44" x14ac:dyDescent="0.2">
      <c r="B335" s="154">
        <v>1</v>
      </c>
      <c r="C335" s="137" t="s">
        <v>220</v>
      </c>
      <c r="D335" s="155" t="s">
        <v>221</v>
      </c>
      <c r="G335" s="238">
        <v>0</v>
      </c>
      <c r="H335" s="238">
        <v>0</v>
      </c>
      <c r="I335" s="238">
        <v>0</v>
      </c>
      <c r="J335" s="245">
        <v>0</v>
      </c>
      <c r="K335" s="238">
        <v>3.1280187042465762E-3</v>
      </c>
      <c r="L335" s="238">
        <v>3.3880012549819386E-3</v>
      </c>
      <c r="M335" s="238">
        <v>3.3880012549819386E-3</v>
      </c>
      <c r="N335" s="238">
        <v>3.6802711525703771E-3</v>
      </c>
      <c r="O335" s="238">
        <v>3.9980238136680338E-3</v>
      </c>
      <c r="P335" s="238">
        <v>4.3432134382360293E-3</v>
      </c>
      <c r="Q335" s="238">
        <v>4.7182093328807032E-3</v>
      </c>
      <c r="R335" s="238">
        <v>5.1255854231217089E-3</v>
      </c>
      <c r="S335" s="238">
        <v>5.5681379264011311E-3</v>
      </c>
      <c r="T335" s="238">
        <v>6.0489045516614612E-3</v>
      </c>
      <c r="U335" s="238">
        <v>6.5711853573679991E-3</v>
      </c>
      <c r="V335" s="238">
        <v>7.1385654112447305E-3</v>
      </c>
      <c r="W335" s="238">
        <v>7.7549394073706352E-3</v>
      </c>
      <c r="X335" s="238">
        <v>8.4245384097307828E-3</v>
      </c>
      <c r="Y335" s="238">
        <v>9.1519589059259054E-3</v>
      </c>
      <c r="Z335" s="238">
        <v>9.9421943706158727E-3</v>
      </c>
      <c r="AA335" s="238">
        <v>1.0800669555515553E-2</v>
      </c>
      <c r="AB335" s="238">
        <v>1.1733277741494599E-2</v>
      </c>
      <c r="AC335" s="238">
        <v>1.2746421208684557E-2</v>
      </c>
      <c r="AD335" s="238">
        <v>1.3847055202606821E-2</v>
      </c>
      <c r="AE335" s="238">
        <v>1.5042735698356083E-2</v>
      </c>
      <c r="AF335" s="238">
        <v>1.6341671290970253E-2</v>
      </c>
      <c r="AG335" s="238">
        <v>1.7752779568469566E-2</v>
      </c>
      <c r="AH335" s="238">
        <v>1.9285748354849128E-2</v>
      </c>
      <c r="AI335" s="238">
        <v>2.0951102243772009E-2</v>
      </c>
      <c r="AJ335" s="238">
        <v>2.2760274880065358E-2</v>
      </c>
      <c r="AK335" s="238">
        <v>2.4725687485617872E-2</v>
      </c>
      <c r="AL335" s="238">
        <v>2.6860834169186852E-2</v>
      </c>
      <c r="AM335" s="238">
        <v>2.9180374606240445E-2</v>
      </c>
      <c r="AN335" s="238">
        <v>3.1700234725606763E-2</v>
      </c>
      <c r="AO335" s="238">
        <v>3.4437716094724534E-2</v>
      </c>
      <c r="AP335" s="238">
        <v>3.7411614755067449E-2</v>
      </c>
      <c r="AQ335" s="238">
        <v>4.064235032425819E-2</v>
      </c>
      <c r="AR335" s="238">
        <v>4.4152106251944226E-2</v>
      </c>
    </row>
    <row r="336" spans="2:44" x14ac:dyDescent="0.2">
      <c r="B336" s="154">
        <v>2</v>
      </c>
      <c r="C336" s="137" t="s">
        <v>222</v>
      </c>
      <c r="D336" s="155" t="s">
        <v>223</v>
      </c>
      <c r="G336" s="178">
        <v>0</v>
      </c>
      <c r="H336" s="178">
        <v>0</v>
      </c>
      <c r="I336" s="178">
        <v>0</v>
      </c>
      <c r="J336" s="246">
        <v>2.8596384258904105E-3</v>
      </c>
      <c r="K336" s="178">
        <v>2.0567179697260278E-3</v>
      </c>
      <c r="L336" s="178">
        <v>2.1861836846523109E-3</v>
      </c>
      <c r="M336" s="178">
        <v>2.1861836846523109E-3</v>
      </c>
      <c r="N336" s="178">
        <v>2.3777946224558442E-3</v>
      </c>
      <c r="O336" s="178">
        <v>2.587582963754232E-3</v>
      </c>
      <c r="P336" s="178">
        <v>2.8158830169806325E-3</v>
      </c>
      <c r="Q336" s="178">
        <v>3.0643284693617585E-3</v>
      </c>
      <c r="R336" s="178">
        <v>3.3346972021335323E-3</v>
      </c>
      <c r="S336" s="178">
        <v>3.6289240191334981E-3</v>
      </c>
      <c r="T336" s="178">
        <v>3.9491144991370191E-3</v>
      </c>
      <c r="U336" s="178">
        <v>4.2975600711589812E-3</v>
      </c>
      <c r="V336" s="178">
        <v>4.6767544207046577E-3</v>
      </c>
      <c r="W336" s="178">
        <v>5.0894113444890955E-3</v>
      </c>
      <c r="X336" s="178">
        <v>5.5384841815222397E-3</v>
      </c>
      <c r="Y336" s="178">
        <v>6.0271869597514887E-3</v>
      </c>
      <c r="Z336" s="178">
        <v>6.5590174097453092E-3</v>
      </c>
      <c r="AA336" s="178">
        <v>7.137782010279075E-3</v>
      </c>
      <c r="AB336" s="178">
        <v>7.7676232452434405E-3</v>
      </c>
      <c r="AC336" s="178">
        <v>8.4530492671404736E-3</v>
      </c>
      <c r="AD336" s="178">
        <v>9.19896617967721E-3</v>
      </c>
      <c r="AE336" s="178">
        <v>1.0010713170733805E-2</v>
      </c>
      <c r="AF336" s="178">
        <v>1.0894100747408535E-2</v>
      </c>
      <c r="AG336" s="178">
        <v>1.1855452347071145E-2</v>
      </c>
      <c r="AH336" s="178">
        <v>1.2901649622548474E-2</v>
      </c>
      <c r="AI336" s="178">
        <v>1.4040181725895766E-2</v>
      </c>
      <c r="AJ336" s="178">
        <v>1.527919894386205E-2</v>
      </c>
      <c r="AK336" s="178">
        <v>1.6627571069343962E-2</v>
      </c>
      <c r="AL336" s="178">
        <v>1.8094950927063005E-2</v>
      </c>
      <c r="AM336" s="178">
        <v>1.9691843508639884E-2</v>
      </c>
      <c r="AN336" s="178">
        <v>2.1429681212440824E-2</v>
      </c>
      <c r="AO336" s="178">
        <v>2.3320905727323371E-2</v>
      </c>
      <c r="AP336" s="178">
        <v>2.5379057147025999E-2</v>
      </c>
      <c r="AQ336" s="178">
        <v>2.7618870953769407E-2</v>
      </c>
      <c r="AR336" s="178">
        <v>3.0056383566038257E-2</v>
      </c>
    </row>
    <row r="337" spans="1:44" x14ac:dyDescent="0.2">
      <c r="B337" s="154">
        <v>3</v>
      </c>
      <c r="C337" s="137" t="s">
        <v>224</v>
      </c>
      <c r="D337" s="155" t="s">
        <v>225</v>
      </c>
      <c r="G337" s="178">
        <v>0</v>
      </c>
      <c r="H337" s="178">
        <v>0</v>
      </c>
      <c r="I337" s="178">
        <v>0</v>
      </c>
      <c r="J337" s="246">
        <v>0</v>
      </c>
      <c r="K337" s="178">
        <v>0</v>
      </c>
      <c r="L337" s="178">
        <v>0</v>
      </c>
      <c r="M337" s="178">
        <v>0</v>
      </c>
      <c r="N337" s="178">
        <v>0</v>
      </c>
      <c r="O337" s="178">
        <v>0</v>
      </c>
      <c r="P337" s="178">
        <v>0</v>
      </c>
      <c r="Q337" s="178">
        <v>0</v>
      </c>
      <c r="R337" s="178">
        <v>0</v>
      </c>
      <c r="S337" s="178">
        <v>0</v>
      </c>
      <c r="T337" s="178">
        <v>0</v>
      </c>
      <c r="U337" s="178">
        <v>0</v>
      </c>
      <c r="V337" s="178">
        <v>0</v>
      </c>
      <c r="W337" s="178">
        <v>0</v>
      </c>
      <c r="X337" s="178">
        <v>0</v>
      </c>
      <c r="Y337" s="178">
        <v>0</v>
      </c>
      <c r="Z337" s="178">
        <v>0</v>
      </c>
      <c r="AA337" s="178">
        <v>0</v>
      </c>
      <c r="AB337" s="178">
        <v>0</v>
      </c>
      <c r="AC337" s="178">
        <v>0</v>
      </c>
      <c r="AD337" s="178">
        <v>0</v>
      </c>
      <c r="AE337" s="178">
        <v>0</v>
      </c>
      <c r="AF337" s="178">
        <v>0</v>
      </c>
      <c r="AG337" s="178">
        <v>0</v>
      </c>
      <c r="AH337" s="178">
        <v>0</v>
      </c>
      <c r="AI337" s="178">
        <v>0</v>
      </c>
      <c r="AJ337" s="178">
        <v>0</v>
      </c>
      <c r="AK337" s="178">
        <v>0</v>
      </c>
      <c r="AL337" s="178">
        <v>0</v>
      </c>
      <c r="AM337" s="178">
        <v>0</v>
      </c>
      <c r="AN337" s="178">
        <v>0</v>
      </c>
      <c r="AO337" s="178">
        <v>0</v>
      </c>
      <c r="AP337" s="178">
        <v>0</v>
      </c>
      <c r="AQ337" s="178">
        <v>0</v>
      </c>
      <c r="AR337" s="178">
        <v>0</v>
      </c>
    </row>
    <row r="338" spans="1:44" x14ac:dyDescent="0.2">
      <c r="B338" s="154">
        <v>4</v>
      </c>
      <c r="C338" s="137" t="s">
        <v>226</v>
      </c>
      <c r="D338" s="155" t="s">
        <v>227</v>
      </c>
      <c r="G338" s="178">
        <v>0</v>
      </c>
      <c r="H338" s="178">
        <v>0</v>
      </c>
      <c r="I338" s="178">
        <v>0</v>
      </c>
      <c r="J338" s="246">
        <v>3.8849473407123275E-2</v>
      </c>
      <c r="K338" s="178">
        <v>5.7439145056575339E-2</v>
      </c>
      <c r="L338" s="178">
        <v>6.1722832823285043E-2</v>
      </c>
      <c r="M338" s="178">
        <v>6.1722832823285043E-2</v>
      </c>
      <c r="N338" s="178">
        <v>6.7083093699338306E-2</v>
      </c>
      <c r="O338" s="178">
        <v>7.2928100726349546E-2</v>
      </c>
      <c r="P338" s="178">
        <v>7.9282500845062623E-2</v>
      </c>
      <c r="Q338" s="178">
        <v>8.6190697599023508E-2</v>
      </c>
      <c r="R338" s="178">
        <v>9.3700966031571298E-2</v>
      </c>
      <c r="S338" s="178">
        <v>0.10186579031372324</v>
      </c>
      <c r="T338" s="178">
        <v>0.11074223082273255</v>
      </c>
      <c r="U338" s="178">
        <v>0.12039232324082852</v>
      </c>
      <c r="V338" s="178">
        <v>0.13088351246788443</v>
      </c>
      <c r="W338" s="178">
        <v>0.14228912438556651</v>
      </c>
      <c r="X338" s="178">
        <v>0.15468887877560758</v>
      </c>
      <c r="Y338" s="178">
        <v>0.16816944698307817</v>
      </c>
      <c r="Z338" s="178">
        <v>0.1828250582289192</v>
      </c>
      <c r="AA338" s="178">
        <v>0.19875815881674627</v>
      </c>
      <c r="AB338" s="178">
        <v>0.21608012884942998</v>
      </c>
      <c r="AC338" s="178">
        <v>0.23491206147379051</v>
      </c>
      <c r="AD338" s="178">
        <v>0.25538561010975047</v>
      </c>
      <c r="AE338" s="178">
        <v>0.27764390959652852</v>
      </c>
      <c r="AF338" s="178">
        <v>0.30184257770627376</v>
      </c>
      <c r="AG338" s="178">
        <v>0.328150804038568</v>
      </c>
      <c r="AH338" s="178">
        <v>0.35675253392140061</v>
      </c>
      <c r="AI338" s="178">
        <v>0.38784775560984763</v>
      </c>
      <c r="AJ338" s="178">
        <v>0.42165389979743051</v>
      </c>
      <c r="AK338" s="178">
        <v>0.45840736124206111</v>
      </c>
      <c r="AL338" s="178">
        <v>0.49836515316411811</v>
      </c>
      <c r="AM338" s="178">
        <v>0.54180670600455016</v>
      </c>
      <c r="AN338" s="178">
        <v>0.58903582314248415</v>
      </c>
      <c r="AO338" s="178">
        <v>0.64038280727172059</v>
      </c>
      <c r="AP338" s="178">
        <v>0.69620677233145978</v>
      </c>
      <c r="AQ338" s="178">
        <v>0.7568981571869704</v>
      </c>
      <c r="AR338" s="178">
        <v>0.82288145866985551</v>
      </c>
    </row>
    <row r="339" spans="1:44" x14ac:dyDescent="0.2">
      <c r="B339" s="154">
        <v>5</v>
      </c>
      <c r="C339" s="137" t="s">
        <v>228</v>
      </c>
      <c r="D339" s="155" t="s">
        <v>221</v>
      </c>
      <c r="G339" s="178">
        <v>0</v>
      </c>
      <c r="H339" s="178">
        <v>0</v>
      </c>
      <c r="I339" s="178">
        <v>0</v>
      </c>
      <c r="J339" s="246">
        <v>0</v>
      </c>
      <c r="K339" s="178">
        <v>1.1684379505890409E-2</v>
      </c>
      <c r="L339" s="178">
        <v>1.2545555509694144E-2</v>
      </c>
      <c r="M339" s="178">
        <v>1.2545555509694144E-2</v>
      </c>
      <c r="N339" s="178">
        <v>1.3635811735124407E-2</v>
      </c>
      <c r="O339" s="178">
        <v>1.4825026349130016E-2</v>
      </c>
      <c r="P339" s="178">
        <v>1.611797884894943E-2</v>
      </c>
      <c r="Q339" s="178">
        <v>1.7523720572810268E-2</v>
      </c>
      <c r="R339" s="178">
        <v>1.9052092785521984E-2</v>
      </c>
      <c r="S339" s="178">
        <v>2.0713795632472172E-2</v>
      </c>
      <c r="T339" s="178">
        <v>2.2520463114103009E-2</v>
      </c>
      <c r="U339" s="178">
        <v>2.4484744606645348E-2</v>
      </c>
      <c r="V339" s="178">
        <v>2.6620393500815333E-2</v>
      </c>
      <c r="W339" s="178">
        <v>2.8942363580118452E-2</v>
      </c>
      <c r="X339" s="178">
        <v>3.1466913814709813E-2</v>
      </c>
      <c r="Y339" s="178">
        <v>3.4211722305807414E-2</v>
      </c>
      <c r="Z339" s="178">
        <v>3.7196010179863223E-2</v>
      </c>
      <c r="AA339" s="178">
        <v>4.0440676301514822E-2</v>
      </c>
      <c r="AB339" s="178">
        <v>4.3968443750259156E-2</v>
      </c>
      <c r="AC339" s="178">
        <v>4.7804019088342677E-2</v>
      </c>
      <c r="AD339" s="178">
        <v>5.1974265537128153E-2</v>
      </c>
      <c r="AE339" s="178">
        <v>5.6508391276809275E-2</v>
      </c>
      <c r="AF339" s="178">
        <v>6.1438154190484123E-2</v>
      </c>
      <c r="AG339" s="178">
        <v>6.6798084489014087E-2</v>
      </c>
      <c r="AH339" s="178">
        <v>7.2625726778596772E-2</v>
      </c>
      <c r="AI339" s="178">
        <v>7.8961903269450226E-2</v>
      </c>
      <c r="AJ339" s="178">
        <v>8.585099997240192E-2</v>
      </c>
      <c r="AK339" s="178">
        <v>9.3341277891540231E-2</v>
      </c>
      <c r="AL339" s="178">
        <v>0.10148521139655292</v>
      </c>
      <c r="AM339" s="178">
        <v>0.11033985614918029</v>
      </c>
      <c r="AN339" s="178">
        <v>0.11996724916568806</v>
      </c>
      <c r="AO339" s="178">
        <v>0.13043484382287737</v>
      </c>
      <c r="AP339" s="178">
        <v>0.14181598286048008</v>
      </c>
      <c r="AQ339" s="178">
        <v>0.15419041269956141</v>
      </c>
      <c r="AR339" s="178">
        <v>0.16764484268664212</v>
      </c>
    </row>
    <row r="340" spans="1:44" x14ac:dyDescent="0.2">
      <c r="B340" s="154">
        <v>6</v>
      </c>
      <c r="C340" s="137" t="s">
        <v>229</v>
      </c>
      <c r="D340" s="155" t="s">
        <v>230</v>
      </c>
      <c r="G340" s="178">
        <v>0</v>
      </c>
      <c r="H340" s="178">
        <v>0</v>
      </c>
      <c r="I340" s="178">
        <v>0</v>
      </c>
      <c r="J340" s="246">
        <v>0.59316476804397267</v>
      </c>
      <c r="K340" s="178">
        <v>1.4522911143716439</v>
      </c>
      <c r="L340" s="178">
        <v>1.5577390800334308</v>
      </c>
      <c r="M340" s="178">
        <v>1.5577390800334308</v>
      </c>
      <c r="N340" s="178">
        <v>1.6932292152812387</v>
      </c>
      <c r="O340" s="178">
        <v>1.8410737582064594</v>
      </c>
      <c r="P340" s="178">
        <v>2.0018303154835064</v>
      </c>
      <c r="Q340" s="178">
        <v>2.1766268166199971</v>
      </c>
      <c r="R340" s="178">
        <v>2.3666897439830845</v>
      </c>
      <c r="S340" s="178">
        <v>2.5733527458268095</v>
      </c>
      <c r="T340" s="178">
        <v>2.7980660022270936</v>
      </c>
      <c r="U340" s="178">
        <v>3.0424064097548387</v>
      </c>
      <c r="V340" s="178">
        <v>3.3080886564747716</v>
      </c>
      <c r="W340" s="178">
        <v>3.5969772651184768</v>
      </c>
      <c r="X340" s="178">
        <v>3.9110996890885596</v>
      </c>
      <c r="Y340" s="178">
        <v>4.2526605533549127</v>
      </c>
      <c r="Z340" s="178">
        <v>4.6240571403558803</v>
      </c>
      <c r="AA340" s="178">
        <v>5.027896229773245</v>
      </c>
      <c r="AB340" s="178">
        <v>5.4670124105721172</v>
      </c>
      <c r="AC340" s="178">
        <v>5.9444879940520536</v>
      </c>
      <c r="AD340" s="178">
        <v>6.4636746679168464</v>
      </c>
      <c r="AE340" s="178">
        <v>7.0282170436167846</v>
      </c>
      <c r="AF340" s="178">
        <v>7.2448095517744662</v>
      </c>
      <c r="AG340" s="178">
        <v>7.2448095517744662</v>
      </c>
      <c r="AH340" s="178">
        <v>7.2448095517744662</v>
      </c>
      <c r="AI340" s="178">
        <v>7.2448095517744662</v>
      </c>
      <c r="AJ340" s="178">
        <v>7.2448095517744662</v>
      </c>
      <c r="AK340" s="178">
        <v>7.2448095517744662</v>
      </c>
      <c r="AL340" s="178">
        <v>7.2448095517744662</v>
      </c>
      <c r="AM340" s="178">
        <v>7.2448095517744662</v>
      </c>
      <c r="AN340" s="178">
        <v>7.2448095517744662</v>
      </c>
      <c r="AO340" s="178">
        <v>7.2448095517744662</v>
      </c>
      <c r="AP340" s="178">
        <v>7.2448095517744662</v>
      </c>
      <c r="AQ340" s="178">
        <v>7.2448095517744662</v>
      </c>
      <c r="AR340" s="178">
        <v>7.2448095517744662</v>
      </c>
    </row>
    <row r="341" spans="1:44" x14ac:dyDescent="0.2">
      <c r="B341" s="154">
        <v>7</v>
      </c>
      <c r="C341" s="137" t="s">
        <v>231</v>
      </c>
      <c r="D341" s="155" t="s">
        <v>225</v>
      </c>
      <c r="G341" s="178">
        <v>0</v>
      </c>
      <c r="H341" s="178">
        <v>0</v>
      </c>
      <c r="I341" s="178">
        <v>0</v>
      </c>
      <c r="J341" s="246">
        <v>1.8831464510958905E-3</v>
      </c>
      <c r="K341" s="178">
        <v>2.0738448258904112E-3</v>
      </c>
      <c r="L341" s="178">
        <v>2.0738448258904112E-3</v>
      </c>
      <c r="M341" s="178">
        <v>2.0738448258904112E-3</v>
      </c>
      <c r="N341" s="178">
        <v>2.2523371229309324E-3</v>
      </c>
      <c r="O341" s="178">
        <v>2.4461919484041784E-3</v>
      </c>
      <c r="P341" s="178">
        <v>2.6567315290042959E-3</v>
      </c>
      <c r="Q341" s="178">
        <v>2.8853918932281956E-3</v>
      </c>
      <c r="R341" s="178">
        <v>3.1337326661031741E-3</v>
      </c>
      <c r="S341" s="178">
        <v>3.403447706930067E-3</v>
      </c>
      <c r="T341" s="178">
        <v>3.6963766625988767E-3</v>
      </c>
      <c r="U341" s="178">
        <v>4.0145175152786188E-3</v>
      </c>
      <c r="V341" s="178">
        <v>4.3600402100654996E-3</v>
      </c>
      <c r="W341" s="178">
        <v>4.7353014555395877E-3</v>
      </c>
      <c r="X341" s="178">
        <v>5.142860798180225E-3</v>
      </c>
      <c r="Y341" s="178">
        <v>5.5854980802790485E-3</v>
      </c>
      <c r="Z341" s="178">
        <v>6.0662324004258691E-3</v>
      </c>
      <c r="AA341" s="178">
        <v>6.5883427058913511E-3</v>
      </c>
      <c r="AB341" s="178">
        <v>7.1553901573610133E-3</v>
      </c>
      <c r="AC341" s="178">
        <v>7.7712424185638956E-3</v>
      </c>
      <c r="AD341" s="178">
        <v>8.4401000364681903E-3</v>
      </c>
      <c r="AE341" s="178">
        <v>9.1665250919755002E-3</v>
      </c>
      <c r="AF341" s="178">
        <v>9.9554723165316116E-3</v>
      </c>
      <c r="AG341" s="178">
        <v>1.0812322886890989E-2</v>
      </c>
      <c r="AH341" s="178">
        <v>1.1742921128539257E-2</v>
      </c>
      <c r="AI341" s="178">
        <v>1.2753614378116741E-2</v>
      </c>
      <c r="AJ341" s="178">
        <v>1.3851296276733089E-2</v>
      </c>
      <c r="AK341" s="178">
        <v>1.5043453789463776E-2</v>
      </c>
      <c r="AL341" s="178">
        <v>1.633821827173474E-2</v>
      </c>
      <c r="AM341" s="178">
        <v>1.7744420930903924E-2</v>
      </c>
      <c r="AN341" s="178">
        <v>1.9271653061326735E-2</v>
      </c>
      <c r="AO341" s="178">
        <v>2.0930331463751225E-2</v>
      </c>
      <c r="AP341" s="178">
        <v>2.2731769495249285E-2</v>
      </c>
      <c r="AQ341" s="178">
        <v>2.4688254234294608E-2</v>
      </c>
      <c r="AR341" s="178">
        <v>2.6813130287307693E-2</v>
      </c>
    </row>
    <row r="342" spans="1:44" x14ac:dyDescent="0.2">
      <c r="B342" s="154">
        <v>8</v>
      </c>
      <c r="C342" s="137" t="s">
        <v>232</v>
      </c>
      <c r="D342" s="155" t="s">
        <v>233</v>
      </c>
      <c r="G342" s="178">
        <v>0</v>
      </c>
      <c r="H342" s="178">
        <v>0</v>
      </c>
      <c r="I342" s="178">
        <v>0</v>
      </c>
      <c r="J342" s="246">
        <v>0.24156837652561639</v>
      </c>
      <c r="K342" s="178">
        <v>0.26147491450571175</v>
      </c>
      <c r="L342" s="178">
        <v>0.28391399442180598</v>
      </c>
      <c r="M342" s="178">
        <v>0.28391399442180598</v>
      </c>
      <c r="N342" s="178">
        <v>0.30835474972473914</v>
      </c>
      <c r="O342" s="178">
        <v>0.33490140559738951</v>
      </c>
      <c r="P342" s="178">
        <v>0.36373351568894569</v>
      </c>
      <c r="Q342" s="178">
        <v>0.39504784092961714</v>
      </c>
      <c r="R342" s="178">
        <v>0.42905808207589546</v>
      </c>
      <c r="S342" s="178">
        <v>0.46599633813150626</v>
      </c>
      <c r="T342" s="178">
        <v>0.50611469033110712</v>
      </c>
      <c r="U342" s="178">
        <v>0.54968692249716078</v>
      </c>
      <c r="V342" s="178">
        <v>0.59701038951114893</v>
      </c>
      <c r="W342" s="178">
        <v>0.64840804665117202</v>
      </c>
      <c r="X342" s="178">
        <v>0.70423065364588422</v>
      </c>
      <c r="Y342" s="178">
        <v>0.76485916848716384</v>
      </c>
      <c r="Z342" s="178">
        <v>0.83070734733900009</v>
      </c>
      <c r="AA342" s="178">
        <v>0.90222456828671482</v>
      </c>
      <c r="AB342" s="178">
        <v>0.97989889819832243</v>
      </c>
      <c r="AC342" s="178">
        <v>1.0642604236291067</v>
      </c>
      <c r="AD342" s="178">
        <v>1.1558848685025809</v>
      </c>
      <c r="AE342" s="178">
        <v>1.2553975232582706</v>
      </c>
      <c r="AF342" s="178">
        <v>1.3634775122825333</v>
      </c>
      <c r="AG342" s="178">
        <v>1.4808624287474452</v>
      </c>
      <c r="AH342" s="178">
        <v>1.6083533684903615</v>
      </c>
      <c r="AI342" s="178">
        <v>1.7468203972902647</v>
      </c>
      <c r="AJ342" s="178">
        <v>1.8972084888549816</v>
      </c>
      <c r="AK342" s="178">
        <v>2.060543974046007</v>
      </c>
      <c r="AL342" s="178">
        <v>2.2379415453569389</v>
      </c>
      <c r="AM342" s="178">
        <v>2.4306118644512136</v>
      </c>
      <c r="AN342" s="178">
        <v>2.6398698246807819</v>
      </c>
      <c r="AO342" s="178">
        <v>2.8671435249777453</v>
      </c>
      <c r="AP342" s="178">
        <v>3.1139840163661776</v>
      </c>
      <c r="AQ342" s="178">
        <v>3.3820758876146604</v>
      </c>
      <c r="AR342" s="178">
        <v>3.5015607695340476</v>
      </c>
    </row>
    <row r="343" spans="1:44" x14ac:dyDescent="0.2">
      <c r="B343" s="157"/>
      <c r="C343" s="158" t="s">
        <v>84</v>
      </c>
      <c r="D343" s="159"/>
      <c r="E343" s="158"/>
      <c r="F343" s="158"/>
      <c r="G343" s="183">
        <v>0</v>
      </c>
      <c r="H343" s="183">
        <v>0</v>
      </c>
      <c r="I343" s="183">
        <v>0</v>
      </c>
      <c r="J343" s="247">
        <v>0.87832540285369864</v>
      </c>
      <c r="K343" s="183">
        <v>1.7901481349396844</v>
      </c>
      <c r="L343" s="183">
        <v>1.9235694925537405</v>
      </c>
      <c r="M343" s="183">
        <v>1.9235694925537405</v>
      </c>
      <c r="N343" s="180">
        <v>2.0906132733383975</v>
      </c>
      <c r="O343" s="180">
        <v>2.2727600896051547</v>
      </c>
      <c r="P343" s="180">
        <v>2.4707801388506851</v>
      </c>
      <c r="Q343" s="180">
        <v>2.6860570054169184</v>
      </c>
      <c r="R343" s="180">
        <v>2.9200949001674319</v>
      </c>
      <c r="S343" s="180">
        <v>3.1745291795569761</v>
      </c>
      <c r="T343" s="180">
        <v>3.4511377822084337</v>
      </c>
      <c r="U343" s="180">
        <v>3.7518536630432791</v>
      </c>
      <c r="V343" s="180">
        <v>4.0787783119966354</v>
      </c>
      <c r="W343" s="180">
        <v>4.434196451942733</v>
      </c>
      <c r="X343" s="180">
        <v>4.8205920187141942</v>
      </c>
      <c r="Y343" s="180">
        <v>5.2406655350769187</v>
      </c>
      <c r="Z343" s="180">
        <v>5.6973530002844495</v>
      </c>
      <c r="AA343" s="180">
        <v>6.1938464274499063</v>
      </c>
      <c r="AB343" s="180">
        <v>6.7336161725142274</v>
      </c>
      <c r="AC343" s="180">
        <v>7.3204352111376831</v>
      </c>
      <c r="AD343" s="180">
        <v>7.9584055334850579</v>
      </c>
      <c r="AE343" s="180">
        <v>8.6519868417094585</v>
      </c>
      <c r="AF343" s="180">
        <v>9.0087590403086679</v>
      </c>
      <c r="AG343" s="180">
        <v>9.1610414238519251</v>
      </c>
      <c r="AH343" s="180">
        <v>9.3264715000707614</v>
      </c>
      <c r="AI343" s="180">
        <v>9.5061845062918131</v>
      </c>
      <c r="AJ343" s="180">
        <v>9.7014137104999403</v>
      </c>
      <c r="AK343" s="180">
        <v>9.9134988772985011</v>
      </c>
      <c r="AL343" s="180">
        <v>10.14389546506006</v>
      </c>
      <c r="AM343" s="180">
        <v>10.394184617425195</v>
      </c>
      <c r="AN343" s="180">
        <v>10.666084017762795</v>
      </c>
      <c r="AO343" s="180">
        <v>10.961459681132608</v>
      </c>
      <c r="AP343" s="180">
        <v>11.282338764729927</v>
      </c>
      <c r="AQ343" s="180">
        <v>11.630923484787981</v>
      </c>
      <c r="AR343" s="180">
        <v>11.8379182427703</v>
      </c>
    </row>
    <row r="344" spans="1:44" x14ac:dyDescent="0.2">
      <c r="B344" s="154"/>
      <c r="D344" s="155"/>
      <c r="G344" s="154"/>
      <c r="H344" s="154"/>
      <c r="I344" s="154"/>
      <c r="J344" s="154"/>
      <c r="K344" s="154"/>
      <c r="L344" s="206"/>
      <c r="W344" s="172"/>
    </row>
    <row r="345" spans="1:44" x14ac:dyDescent="0.2">
      <c r="B345" s="154"/>
      <c r="C345" s="162"/>
      <c r="D345" s="155"/>
      <c r="E345" s="162"/>
      <c r="G345" s="154"/>
      <c r="H345" s="154"/>
      <c r="I345" s="156"/>
      <c r="J345" s="156"/>
      <c r="K345" s="156"/>
      <c r="L345" s="248"/>
      <c r="M345" s="204"/>
      <c r="N345" s="204"/>
      <c r="O345" s="204"/>
      <c r="P345" s="204"/>
      <c r="Q345" s="204"/>
      <c r="R345" s="204"/>
      <c r="S345" s="204"/>
      <c r="T345" s="204"/>
      <c r="U345" s="204"/>
      <c r="V345" s="204"/>
      <c r="W345" s="249"/>
      <c r="X345" s="204"/>
      <c r="Y345" s="204"/>
      <c r="Z345" s="204"/>
      <c r="AA345" s="204"/>
      <c r="AB345" s="204"/>
      <c r="AC345" s="204"/>
      <c r="AD345" s="204"/>
      <c r="AE345" s="204"/>
      <c r="AF345" s="204"/>
      <c r="AG345" s="204"/>
      <c r="AH345" s="204"/>
      <c r="AI345" s="204"/>
      <c r="AJ345" s="204"/>
      <c r="AK345" s="204"/>
      <c r="AL345" s="204"/>
      <c r="AM345" s="204"/>
      <c r="AN345" s="204"/>
      <c r="AO345" s="204"/>
    </row>
    <row r="346" spans="1:44" x14ac:dyDescent="0.2">
      <c r="B346" s="139"/>
      <c r="C346" s="140" t="s">
        <v>270</v>
      </c>
      <c r="D346" s="141"/>
      <c r="E346" s="140"/>
      <c r="F346" s="140"/>
      <c r="G346" s="142"/>
      <c r="H346" s="142"/>
      <c r="I346" s="139"/>
      <c r="J346" s="139"/>
      <c r="K346" s="139"/>
      <c r="L346" s="143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0"/>
      <c r="X346" s="144"/>
      <c r="Y346" s="144"/>
      <c r="Z346" s="144"/>
      <c r="AA346" s="144"/>
      <c r="AB346" s="144"/>
      <c r="AC346" s="144"/>
      <c r="AD346" s="144"/>
      <c r="AE346" s="144"/>
      <c r="AF346" s="144"/>
      <c r="AG346" s="144"/>
      <c r="AH346" s="144"/>
      <c r="AI346" s="144"/>
      <c r="AJ346" s="144"/>
      <c r="AK346" s="144"/>
      <c r="AL346" s="144"/>
      <c r="AM346" s="144"/>
      <c r="AN346" s="144"/>
      <c r="AO346" s="144"/>
      <c r="AP346" s="144"/>
      <c r="AQ346" s="144"/>
      <c r="AR346" s="144"/>
    </row>
    <row r="347" spans="1:44" x14ac:dyDescent="0.2">
      <c r="B347" s="230"/>
      <c r="C347" s="146" t="s">
        <v>218</v>
      </c>
      <c r="D347" s="147" t="s">
        <v>219</v>
      </c>
      <c r="E347" s="230"/>
      <c r="F347" s="230"/>
      <c r="G347" s="231">
        <v>2019</v>
      </c>
      <c r="H347" s="231">
        <v>2020</v>
      </c>
      <c r="I347" s="231">
        <v>2021</v>
      </c>
      <c r="J347" s="231">
        <v>2022</v>
      </c>
      <c r="K347" s="231">
        <v>2023</v>
      </c>
      <c r="L347" s="232">
        <v>45352</v>
      </c>
      <c r="M347" s="231">
        <v>2024</v>
      </c>
      <c r="N347" s="230">
        <v>2025</v>
      </c>
      <c r="O347" s="230">
        <v>2026</v>
      </c>
      <c r="P347" s="230">
        <v>2027</v>
      </c>
      <c r="Q347" s="230">
        <v>2028</v>
      </c>
      <c r="R347" s="230">
        <v>2029</v>
      </c>
      <c r="S347" s="230">
        <v>2030</v>
      </c>
      <c r="T347" s="230">
        <v>2031</v>
      </c>
      <c r="U347" s="230">
        <v>2032</v>
      </c>
      <c r="V347" s="230">
        <v>2033</v>
      </c>
      <c r="W347" s="230">
        <v>2034</v>
      </c>
      <c r="X347" s="230">
        <v>2035</v>
      </c>
      <c r="Y347" s="230">
        <v>2036</v>
      </c>
      <c r="Z347" s="230">
        <v>2037</v>
      </c>
      <c r="AA347" s="230">
        <v>2038</v>
      </c>
      <c r="AB347" s="230">
        <v>2039</v>
      </c>
      <c r="AC347" s="230">
        <v>2040</v>
      </c>
      <c r="AD347" s="230">
        <v>2041</v>
      </c>
      <c r="AE347" s="230">
        <v>2042</v>
      </c>
      <c r="AF347" s="230">
        <v>2043</v>
      </c>
      <c r="AG347" s="230">
        <v>2044</v>
      </c>
      <c r="AH347" s="230">
        <v>2045</v>
      </c>
      <c r="AI347" s="230">
        <v>2046</v>
      </c>
      <c r="AJ347" s="230">
        <v>2047</v>
      </c>
      <c r="AK347" s="230">
        <v>2048</v>
      </c>
      <c r="AL347" s="230">
        <v>2049</v>
      </c>
      <c r="AM347" s="230">
        <v>2050</v>
      </c>
      <c r="AN347" s="230">
        <v>2051</v>
      </c>
      <c r="AO347" s="230">
        <v>2052</v>
      </c>
      <c r="AP347" s="230">
        <v>2053</v>
      </c>
      <c r="AQ347" s="230">
        <v>2054</v>
      </c>
      <c r="AR347" s="230">
        <v>2055</v>
      </c>
    </row>
    <row r="348" spans="1:44" x14ac:dyDescent="0.2">
      <c r="A348" s="184"/>
      <c r="B348" s="185"/>
      <c r="C348" s="185"/>
      <c r="D348" s="186"/>
      <c r="E348" s="185"/>
      <c r="F348" s="185"/>
      <c r="G348" s="187"/>
      <c r="H348" s="187"/>
      <c r="I348" s="187"/>
      <c r="J348" s="187"/>
      <c r="K348" s="188"/>
      <c r="L348" s="188"/>
      <c r="M348" s="188"/>
      <c r="N348" s="188"/>
      <c r="O348" s="185"/>
      <c r="P348" s="185"/>
      <c r="Q348" s="185"/>
      <c r="R348" s="185"/>
      <c r="S348" s="185"/>
      <c r="T348" s="185"/>
      <c r="U348" s="185"/>
      <c r="V348" s="185"/>
      <c r="W348" s="185"/>
      <c r="X348" s="185"/>
      <c r="Y348" s="185"/>
      <c r="Z348" s="185"/>
      <c r="AA348" s="185"/>
      <c r="AB348" s="185"/>
      <c r="AC348" s="185"/>
      <c r="AD348" s="185"/>
      <c r="AE348" s="185"/>
      <c r="AF348" s="185"/>
      <c r="AG348" s="185"/>
      <c r="AH348" s="185"/>
      <c r="AI348" s="185"/>
      <c r="AJ348" s="185"/>
      <c r="AK348" s="185"/>
      <c r="AL348" s="185"/>
      <c r="AM348" s="185"/>
      <c r="AN348" s="185"/>
      <c r="AO348" s="185"/>
      <c r="AP348" s="185"/>
      <c r="AQ348" s="185"/>
      <c r="AR348" s="185"/>
    </row>
    <row r="349" spans="1:44" x14ac:dyDescent="0.2">
      <c r="B349" s="150"/>
      <c r="C349" s="150"/>
      <c r="D349" s="151"/>
      <c r="E349" s="150"/>
      <c r="F349" s="150"/>
      <c r="G349" s="150"/>
      <c r="H349" s="150"/>
      <c r="I349" s="150"/>
      <c r="J349" s="150"/>
      <c r="K349" s="150"/>
      <c r="L349" s="150"/>
      <c r="M349" s="150"/>
      <c r="N349" s="150"/>
      <c r="O349" s="150"/>
      <c r="P349" s="150"/>
      <c r="Q349" s="150"/>
      <c r="R349" s="150"/>
      <c r="S349" s="150"/>
      <c r="T349" s="150"/>
      <c r="U349" s="150"/>
      <c r="V349" s="150"/>
      <c r="W349" s="150"/>
      <c r="X349" s="150"/>
      <c r="Y349" s="150"/>
      <c r="Z349" s="150"/>
      <c r="AA349" s="150"/>
      <c r="AB349" s="150"/>
      <c r="AC349" s="150"/>
      <c r="AD349" s="150"/>
      <c r="AE349" s="150"/>
      <c r="AF349" s="150"/>
      <c r="AG349" s="150"/>
      <c r="AH349" s="150"/>
      <c r="AI349" s="150"/>
      <c r="AJ349" s="150"/>
      <c r="AK349" s="150"/>
      <c r="AL349" s="150"/>
      <c r="AM349" s="150"/>
      <c r="AN349" s="150"/>
      <c r="AO349" s="150"/>
      <c r="AP349" s="150"/>
      <c r="AQ349" s="150"/>
      <c r="AR349" s="150"/>
    </row>
    <row r="350" spans="1:44" x14ac:dyDescent="0.2">
      <c r="B350" s="154">
        <v>1</v>
      </c>
      <c r="C350" s="137" t="s">
        <v>220</v>
      </c>
      <c r="D350" s="155" t="s">
        <v>221</v>
      </c>
      <c r="G350" s="189"/>
      <c r="H350" s="189"/>
      <c r="I350" s="189"/>
      <c r="J350" s="250">
        <v>0.39</v>
      </c>
      <c r="K350" s="189">
        <v>0.34169120471130465</v>
      </c>
      <c r="L350" s="189">
        <v>0.2699924685905995</v>
      </c>
      <c r="M350" s="189">
        <v>0.2699924685905995</v>
      </c>
      <c r="N350" s="189">
        <v>0.2699924685905995</v>
      </c>
      <c r="O350" s="189">
        <v>0.2699924685905995</v>
      </c>
      <c r="P350" s="189">
        <v>0.2699924685905995</v>
      </c>
      <c r="Q350" s="189">
        <v>0.25249435144294963</v>
      </c>
      <c r="R350" s="189">
        <v>0.23499623429529976</v>
      </c>
      <c r="S350" s="189">
        <v>0.21749811714764988</v>
      </c>
      <c r="T350" s="189">
        <v>0.2</v>
      </c>
      <c r="U350" s="189">
        <v>0.2</v>
      </c>
      <c r="V350" s="189">
        <v>0.2</v>
      </c>
      <c r="W350" s="189">
        <v>0.2</v>
      </c>
      <c r="X350" s="189">
        <v>0.2</v>
      </c>
      <c r="Y350" s="189">
        <v>0.2</v>
      </c>
      <c r="Z350" s="189">
        <v>0.2</v>
      </c>
      <c r="AA350" s="189">
        <v>0.2</v>
      </c>
      <c r="AB350" s="189">
        <v>0.2</v>
      </c>
      <c r="AC350" s="189">
        <v>0.2</v>
      </c>
      <c r="AD350" s="189">
        <v>0.2</v>
      </c>
      <c r="AE350" s="189">
        <v>0.2</v>
      </c>
      <c r="AF350" s="189">
        <v>0.2</v>
      </c>
      <c r="AG350" s="189">
        <v>0.2</v>
      </c>
      <c r="AH350" s="189">
        <v>0.2</v>
      </c>
      <c r="AI350" s="189">
        <v>0.2</v>
      </c>
      <c r="AJ350" s="189">
        <v>0.2</v>
      </c>
      <c r="AK350" s="189">
        <v>0.2</v>
      </c>
      <c r="AL350" s="189">
        <v>0.2</v>
      </c>
      <c r="AM350" s="189">
        <v>0.2</v>
      </c>
      <c r="AN350" s="189">
        <v>0.2</v>
      </c>
      <c r="AO350" s="189">
        <v>0.2</v>
      </c>
      <c r="AP350" s="189">
        <v>0.2</v>
      </c>
      <c r="AQ350" s="189">
        <v>0.2</v>
      </c>
      <c r="AR350" s="189">
        <v>0.2</v>
      </c>
    </row>
    <row r="351" spans="1:44" x14ac:dyDescent="0.2">
      <c r="B351" s="154">
        <v>2</v>
      </c>
      <c r="C351" s="137" t="s">
        <v>222</v>
      </c>
      <c r="D351" s="155" t="s">
        <v>223</v>
      </c>
      <c r="G351" s="251"/>
      <c r="H351" s="251"/>
      <c r="I351" s="251"/>
      <c r="J351" s="252">
        <v>0.53</v>
      </c>
      <c r="K351" s="251">
        <v>0.6871056406753937</v>
      </c>
      <c r="L351" s="251">
        <v>0.68397669708214759</v>
      </c>
      <c r="M351" s="251">
        <v>0.68397669708214759</v>
      </c>
      <c r="N351" s="251">
        <v>0.68397669708214759</v>
      </c>
      <c r="O351" s="251">
        <v>0.68397669708214759</v>
      </c>
      <c r="P351" s="251">
        <v>0.68397669708214759</v>
      </c>
      <c r="Q351" s="251">
        <v>0.56298252281161065</v>
      </c>
      <c r="R351" s="251">
        <v>0.44198834854107377</v>
      </c>
      <c r="S351" s="251">
        <v>0.32099417427053689</v>
      </c>
      <c r="T351" s="251">
        <v>0.2</v>
      </c>
      <c r="U351" s="251">
        <v>0.2</v>
      </c>
      <c r="V351" s="251">
        <v>0.2</v>
      </c>
      <c r="W351" s="251">
        <v>0.2</v>
      </c>
      <c r="X351" s="251">
        <v>0.2</v>
      </c>
      <c r="Y351" s="251">
        <v>0.2</v>
      </c>
      <c r="Z351" s="251">
        <v>0.2</v>
      </c>
      <c r="AA351" s="251">
        <v>0.2</v>
      </c>
      <c r="AB351" s="251">
        <v>0.2</v>
      </c>
      <c r="AC351" s="251">
        <v>0.2</v>
      </c>
      <c r="AD351" s="251">
        <v>0.2</v>
      </c>
      <c r="AE351" s="251">
        <v>0.2</v>
      </c>
      <c r="AF351" s="251">
        <v>0.2</v>
      </c>
      <c r="AG351" s="251">
        <v>0.2</v>
      </c>
      <c r="AH351" s="251">
        <v>0.2</v>
      </c>
      <c r="AI351" s="251">
        <v>0.2</v>
      </c>
      <c r="AJ351" s="251">
        <v>0.2</v>
      </c>
      <c r="AK351" s="251">
        <v>0.2</v>
      </c>
      <c r="AL351" s="251">
        <v>0.2</v>
      </c>
      <c r="AM351" s="251">
        <v>0.2</v>
      </c>
      <c r="AN351" s="251">
        <v>0.2</v>
      </c>
      <c r="AO351" s="251">
        <v>0.2</v>
      </c>
      <c r="AP351" s="251">
        <v>0.2</v>
      </c>
      <c r="AQ351" s="251">
        <v>0.2</v>
      </c>
      <c r="AR351" s="251">
        <v>0.2</v>
      </c>
    </row>
    <row r="352" spans="1:44" x14ac:dyDescent="0.2">
      <c r="B352" s="154">
        <v>3</v>
      </c>
      <c r="C352" s="137" t="s">
        <v>224</v>
      </c>
      <c r="D352" s="155" t="s">
        <v>225</v>
      </c>
      <c r="G352" s="251"/>
      <c r="H352" s="251"/>
      <c r="I352" s="251"/>
      <c r="J352" s="252">
        <v>0.28999999999999998</v>
      </c>
      <c r="K352" s="251">
        <v>0.55567161290322586</v>
      </c>
      <c r="L352" s="251">
        <v>0.55567161290322598</v>
      </c>
      <c r="M352" s="251">
        <v>0.55567161290322598</v>
      </c>
      <c r="N352" s="251">
        <v>0.55567161290322598</v>
      </c>
      <c r="O352" s="251">
        <v>0.55567161290322598</v>
      </c>
      <c r="P352" s="251">
        <v>0.55567161290322598</v>
      </c>
      <c r="Q352" s="251">
        <v>0.46675370967741947</v>
      </c>
      <c r="R352" s="251">
        <v>0.37783580645161297</v>
      </c>
      <c r="S352" s="251">
        <v>0.28891790322580646</v>
      </c>
      <c r="T352" s="251">
        <v>0.2</v>
      </c>
      <c r="U352" s="251">
        <v>0.2</v>
      </c>
      <c r="V352" s="251">
        <v>0.2</v>
      </c>
      <c r="W352" s="251">
        <v>0.2</v>
      </c>
      <c r="X352" s="251">
        <v>0.2</v>
      </c>
      <c r="Y352" s="251">
        <v>0.2</v>
      </c>
      <c r="Z352" s="251">
        <v>0.2</v>
      </c>
      <c r="AA352" s="251">
        <v>0.2</v>
      </c>
      <c r="AB352" s="251">
        <v>0.2</v>
      </c>
      <c r="AC352" s="251">
        <v>0.2</v>
      </c>
      <c r="AD352" s="251">
        <v>0.2</v>
      </c>
      <c r="AE352" s="251">
        <v>0.2</v>
      </c>
      <c r="AF352" s="251">
        <v>0.2</v>
      </c>
      <c r="AG352" s="251">
        <v>0.2</v>
      </c>
      <c r="AH352" s="251">
        <v>0.2</v>
      </c>
      <c r="AI352" s="251">
        <v>0.2</v>
      </c>
      <c r="AJ352" s="251">
        <v>0.2</v>
      </c>
      <c r="AK352" s="251">
        <v>0.2</v>
      </c>
      <c r="AL352" s="251">
        <v>0.2</v>
      </c>
      <c r="AM352" s="251">
        <v>0.2</v>
      </c>
      <c r="AN352" s="251">
        <v>0.2</v>
      </c>
      <c r="AO352" s="251">
        <v>0.2</v>
      </c>
      <c r="AP352" s="251">
        <v>0.2</v>
      </c>
      <c r="AQ352" s="251">
        <v>0.2</v>
      </c>
      <c r="AR352" s="251">
        <v>0.2</v>
      </c>
    </row>
    <row r="353" spans="2:44" x14ac:dyDescent="0.2">
      <c r="B353" s="154">
        <v>4</v>
      </c>
      <c r="C353" s="137" t="s">
        <v>226</v>
      </c>
      <c r="D353" s="155" t="s">
        <v>227</v>
      </c>
      <c r="G353" s="251"/>
      <c r="H353" s="251"/>
      <c r="I353" s="251"/>
      <c r="J353" s="252">
        <v>0.35</v>
      </c>
      <c r="K353" s="251">
        <v>0.41007243481772543</v>
      </c>
      <c r="L353" s="251">
        <v>0.41296834465836108</v>
      </c>
      <c r="M353" s="251">
        <v>0.41296834465836108</v>
      </c>
      <c r="N353" s="251">
        <v>0.41296834465836108</v>
      </c>
      <c r="O353" s="251">
        <v>0.41296834465836108</v>
      </c>
      <c r="P353" s="251">
        <v>0.41296834465836108</v>
      </c>
      <c r="Q353" s="251">
        <v>0.35972625849377082</v>
      </c>
      <c r="R353" s="251">
        <v>0.30648417232918057</v>
      </c>
      <c r="S353" s="251">
        <v>0.25324208616459032</v>
      </c>
      <c r="T353" s="251">
        <v>0.2</v>
      </c>
      <c r="U353" s="251">
        <v>0.2</v>
      </c>
      <c r="V353" s="251">
        <v>0.2</v>
      </c>
      <c r="W353" s="251">
        <v>0.2</v>
      </c>
      <c r="X353" s="251">
        <v>0.2</v>
      </c>
      <c r="Y353" s="251">
        <v>0.2</v>
      </c>
      <c r="Z353" s="251">
        <v>0.2</v>
      </c>
      <c r="AA353" s="251">
        <v>0.2</v>
      </c>
      <c r="AB353" s="251">
        <v>0.2</v>
      </c>
      <c r="AC353" s="251">
        <v>0.2</v>
      </c>
      <c r="AD353" s="251">
        <v>0.2</v>
      </c>
      <c r="AE353" s="251">
        <v>0.2</v>
      </c>
      <c r="AF353" s="251">
        <v>0.2</v>
      </c>
      <c r="AG353" s="251">
        <v>0.2</v>
      </c>
      <c r="AH353" s="251">
        <v>0.2</v>
      </c>
      <c r="AI353" s="251">
        <v>0.2</v>
      </c>
      <c r="AJ353" s="251">
        <v>0.2</v>
      </c>
      <c r="AK353" s="251">
        <v>0.2</v>
      </c>
      <c r="AL353" s="251">
        <v>0.2</v>
      </c>
      <c r="AM353" s="251">
        <v>0.2</v>
      </c>
      <c r="AN353" s="251">
        <v>0.2</v>
      </c>
      <c r="AO353" s="251">
        <v>0.2</v>
      </c>
      <c r="AP353" s="251">
        <v>0.2</v>
      </c>
      <c r="AQ353" s="251">
        <v>0.2</v>
      </c>
      <c r="AR353" s="251">
        <v>0.2</v>
      </c>
    </row>
    <row r="354" spans="2:44" x14ac:dyDescent="0.2">
      <c r="B354" s="154">
        <v>5</v>
      </c>
      <c r="C354" s="137" t="s">
        <v>228</v>
      </c>
      <c r="D354" s="155" t="s">
        <v>221</v>
      </c>
      <c r="G354" s="251"/>
      <c r="H354" s="251"/>
      <c r="I354" s="251"/>
      <c r="J354" s="252">
        <v>0.36</v>
      </c>
      <c r="K354" s="251">
        <v>0.40777717498417793</v>
      </c>
      <c r="L354" s="251">
        <v>0.40357190052127334</v>
      </c>
      <c r="M354" s="251">
        <v>0.40357190052127334</v>
      </c>
      <c r="N354" s="251">
        <v>0.40357190052127334</v>
      </c>
      <c r="O354" s="251">
        <v>0.40357190052127334</v>
      </c>
      <c r="P354" s="251">
        <v>0.40357190052127334</v>
      </c>
      <c r="Q354" s="251">
        <v>0.35267892539095502</v>
      </c>
      <c r="R354" s="251">
        <v>0.3017859502606367</v>
      </c>
      <c r="S354" s="251">
        <v>0.25089297513031839</v>
      </c>
      <c r="T354" s="251">
        <v>0.2</v>
      </c>
      <c r="U354" s="251">
        <v>0.2</v>
      </c>
      <c r="V354" s="251">
        <v>0.2</v>
      </c>
      <c r="W354" s="251">
        <v>0.2</v>
      </c>
      <c r="X354" s="251">
        <v>0.2</v>
      </c>
      <c r="Y354" s="251">
        <v>0.2</v>
      </c>
      <c r="Z354" s="251">
        <v>0.2</v>
      </c>
      <c r="AA354" s="251">
        <v>0.2</v>
      </c>
      <c r="AB354" s="251">
        <v>0.2</v>
      </c>
      <c r="AC354" s="251">
        <v>0.2</v>
      </c>
      <c r="AD354" s="251">
        <v>0.2</v>
      </c>
      <c r="AE354" s="251">
        <v>0.2</v>
      </c>
      <c r="AF354" s="251">
        <v>0.2</v>
      </c>
      <c r="AG354" s="251">
        <v>0.2</v>
      </c>
      <c r="AH354" s="251">
        <v>0.2</v>
      </c>
      <c r="AI354" s="251">
        <v>0.2</v>
      </c>
      <c r="AJ354" s="251">
        <v>0.2</v>
      </c>
      <c r="AK354" s="251">
        <v>0.2</v>
      </c>
      <c r="AL354" s="251">
        <v>0.2</v>
      </c>
      <c r="AM354" s="251">
        <v>0.2</v>
      </c>
      <c r="AN354" s="251">
        <v>0.2</v>
      </c>
      <c r="AO354" s="251">
        <v>0.2</v>
      </c>
      <c r="AP354" s="251">
        <v>0.2</v>
      </c>
      <c r="AQ354" s="251">
        <v>0.2</v>
      </c>
      <c r="AR354" s="251">
        <v>0.2</v>
      </c>
    </row>
    <row r="355" spans="2:44" x14ac:dyDescent="0.2">
      <c r="B355" s="154">
        <v>6</v>
      </c>
      <c r="C355" s="137" t="s">
        <v>229</v>
      </c>
      <c r="D355" s="155" t="s">
        <v>230</v>
      </c>
      <c r="G355" s="251"/>
      <c r="H355" s="251"/>
      <c r="I355" s="251"/>
      <c r="J355" s="252">
        <v>0.27</v>
      </c>
      <c r="K355" s="251">
        <v>5.0000000000000135E-2</v>
      </c>
      <c r="L355" s="251">
        <v>0.22048858004740363</v>
      </c>
      <c r="M355" s="251">
        <v>0.22048858004740363</v>
      </c>
      <c r="N355" s="251">
        <v>0.22048858004740363</v>
      </c>
      <c r="O355" s="251">
        <v>0.22048858004740363</v>
      </c>
      <c r="P355" s="251">
        <v>0.22048858004740363</v>
      </c>
      <c r="Q355" s="251">
        <v>0.21536643503555272</v>
      </c>
      <c r="R355" s="251">
        <v>0.21024429002370182</v>
      </c>
      <c r="S355" s="251">
        <v>0.20512214501185091</v>
      </c>
      <c r="T355" s="251">
        <v>0.2</v>
      </c>
      <c r="U355" s="251">
        <v>0.2</v>
      </c>
      <c r="V355" s="251">
        <v>0.2</v>
      </c>
      <c r="W355" s="251">
        <v>0.2</v>
      </c>
      <c r="X355" s="251">
        <v>0.2</v>
      </c>
      <c r="Y355" s="251">
        <v>0.2</v>
      </c>
      <c r="Z355" s="251">
        <v>0.2</v>
      </c>
      <c r="AA355" s="251">
        <v>0.2</v>
      </c>
      <c r="AB355" s="251">
        <v>0.2</v>
      </c>
      <c r="AC355" s="251">
        <v>0.2</v>
      </c>
      <c r="AD355" s="251">
        <v>0.2</v>
      </c>
      <c r="AE355" s="251">
        <v>0.2</v>
      </c>
      <c r="AF355" s="251">
        <v>0.2</v>
      </c>
      <c r="AG355" s="251">
        <v>0.2</v>
      </c>
      <c r="AH355" s="251">
        <v>0.2</v>
      </c>
      <c r="AI355" s="251">
        <v>0.2</v>
      </c>
      <c r="AJ355" s="251">
        <v>0.2</v>
      </c>
      <c r="AK355" s="251">
        <v>0.2</v>
      </c>
      <c r="AL355" s="251">
        <v>0.2</v>
      </c>
      <c r="AM355" s="251">
        <v>0.2</v>
      </c>
      <c r="AN355" s="251">
        <v>0.2</v>
      </c>
      <c r="AO355" s="251">
        <v>0.2</v>
      </c>
      <c r="AP355" s="251">
        <v>0.2</v>
      </c>
      <c r="AQ355" s="251">
        <v>0.2</v>
      </c>
      <c r="AR355" s="251">
        <v>0.2</v>
      </c>
    </row>
    <row r="356" spans="2:44" x14ac:dyDescent="0.2">
      <c r="B356" s="154">
        <v>7</v>
      </c>
      <c r="C356" s="137" t="s">
        <v>231</v>
      </c>
      <c r="D356" s="155" t="s">
        <v>225</v>
      </c>
      <c r="G356" s="251"/>
      <c r="H356" s="251"/>
      <c r="I356" s="251"/>
      <c r="J356" s="252">
        <v>0.23</v>
      </c>
      <c r="K356" s="251">
        <v>4.7618374957622445E-2</v>
      </c>
      <c r="L356" s="251">
        <v>0.16932982056477294</v>
      </c>
      <c r="M356" s="251">
        <v>0.16932982056477294</v>
      </c>
      <c r="N356" s="251">
        <v>0.16932982056477294</v>
      </c>
      <c r="O356" s="251">
        <v>0.16932982056477294</v>
      </c>
      <c r="P356" s="251">
        <v>0.16932982056477294</v>
      </c>
      <c r="Q356" s="251">
        <v>0.17699736542357972</v>
      </c>
      <c r="R356" s="251">
        <v>0.18466491028238649</v>
      </c>
      <c r="S356" s="251">
        <v>0.19233245514119326</v>
      </c>
      <c r="T356" s="251">
        <v>0.2</v>
      </c>
      <c r="U356" s="251">
        <v>0.2</v>
      </c>
      <c r="V356" s="251">
        <v>0.2</v>
      </c>
      <c r="W356" s="251">
        <v>0.2</v>
      </c>
      <c r="X356" s="251">
        <v>0.2</v>
      </c>
      <c r="Y356" s="251">
        <v>0.2</v>
      </c>
      <c r="Z356" s="251">
        <v>0.2</v>
      </c>
      <c r="AA356" s="251">
        <v>0.2</v>
      </c>
      <c r="AB356" s="251">
        <v>0.2</v>
      </c>
      <c r="AC356" s="251">
        <v>0.2</v>
      </c>
      <c r="AD356" s="251">
        <v>0.2</v>
      </c>
      <c r="AE356" s="251">
        <v>0.2</v>
      </c>
      <c r="AF356" s="251">
        <v>0.2</v>
      </c>
      <c r="AG356" s="251">
        <v>0.2</v>
      </c>
      <c r="AH356" s="251">
        <v>0.2</v>
      </c>
      <c r="AI356" s="251">
        <v>0.2</v>
      </c>
      <c r="AJ356" s="251">
        <v>0.2</v>
      </c>
      <c r="AK356" s="251">
        <v>0.2</v>
      </c>
      <c r="AL356" s="251">
        <v>0.2</v>
      </c>
      <c r="AM356" s="251">
        <v>0.2</v>
      </c>
      <c r="AN356" s="251">
        <v>0.2</v>
      </c>
      <c r="AO356" s="251">
        <v>0.2</v>
      </c>
      <c r="AP356" s="251">
        <v>0.2</v>
      </c>
      <c r="AQ356" s="251">
        <v>0.2</v>
      </c>
      <c r="AR356" s="251">
        <v>0.2</v>
      </c>
    </row>
    <row r="357" spans="2:44" x14ac:dyDescent="0.2">
      <c r="B357" s="154">
        <v>8</v>
      </c>
      <c r="C357" s="137" t="s">
        <v>232</v>
      </c>
      <c r="D357" s="155" t="s">
        <v>233</v>
      </c>
      <c r="G357" s="251"/>
      <c r="H357" s="251"/>
      <c r="I357" s="251"/>
      <c r="J357" s="252">
        <v>0.51</v>
      </c>
      <c r="K357" s="251">
        <v>0.59864538861839034</v>
      </c>
      <c r="L357" s="251">
        <v>0.43640770906233084</v>
      </c>
      <c r="M357" s="251">
        <v>0.43640770906233084</v>
      </c>
      <c r="N357" s="251">
        <v>0.43640770906233084</v>
      </c>
      <c r="O357" s="251">
        <v>0.43640770906233084</v>
      </c>
      <c r="P357" s="251">
        <v>0.43640770906233084</v>
      </c>
      <c r="Q357" s="251">
        <v>0.37730578179674812</v>
      </c>
      <c r="R357" s="251">
        <v>0.3182038545311654</v>
      </c>
      <c r="S357" s="251">
        <v>0.25910192726558268</v>
      </c>
      <c r="T357" s="251">
        <v>0.2</v>
      </c>
      <c r="U357" s="251">
        <v>0.2</v>
      </c>
      <c r="V357" s="251">
        <v>0.2</v>
      </c>
      <c r="W357" s="251">
        <v>0.2</v>
      </c>
      <c r="X357" s="251">
        <v>0.2</v>
      </c>
      <c r="Y357" s="251">
        <v>0.2</v>
      </c>
      <c r="Z357" s="251">
        <v>0.2</v>
      </c>
      <c r="AA357" s="251">
        <v>0.2</v>
      </c>
      <c r="AB357" s="251">
        <v>0.2</v>
      </c>
      <c r="AC357" s="251">
        <v>0.2</v>
      </c>
      <c r="AD357" s="251">
        <v>0.2</v>
      </c>
      <c r="AE357" s="251">
        <v>0.2</v>
      </c>
      <c r="AF357" s="251">
        <v>0.2</v>
      </c>
      <c r="AG357" s="251">
        <v>0.2</v>
      </c>
      <c r="AH357" s="251">
        <v>0.2</v>
      </c>
      <c r="AI357" s="251">
        <v>0.2</v>
      </c>
      <c r="AJ357" s="251">
        <v>0.2</v>
      </c>
      <c r="AK357" s="251">
        <v>0.2</v>
      </c>
      <c r="AL357" s="251">
        <v>0.2</v>
      </c>
      <c r="AM357" s="251">
        <v>0.2</v>
      </c>
      <c r="AN357" s="251">
        <v>0.2</v>
      </c>
      <c r="AO357" s="251">
        <v>0.2</v>
      </c>
      <c r="AP357" s="251">
        <v>0.2</v>
      </c>
      <c r="AQ357" s="251">
        <v>0.2</v>
      </c>
      <c r="AR357" s="251">
        <v>0.2</v>
      </c>
    </row>
    <row r="358" spans="2:44" x14ac:dyDescent="0.2">
      <c r="B358" s="157"/>
      <c r="C358" s="158" t="s">
        <v>84</v>
      </c>
      <c r="D358" s="159"/>
      <c r="E358" s="158"/>
      <c r="F358" s="158"/>
      <c r="G358" s="192"/>
      <c r="H358" s="192"/>
      <c r="I358" s="192"/>
      <c r="J358" s="192"/>
      <c r="K358" s="192"/>
      <c r="L358" s="192">
        <v>0.44682072383724003</v>
      </c>
      <c r="M358" s="192">
        <v>0.43425300657245841</v>
      </c>
      <c r="N358" s="192">
        <v>0.4196446310478123</v>
      </c>
      <c r="O358" s="192">
        <v>0.41898502088770667</v>
      </c>
      <c r="P358" s="192">
        <v>0.41833326970752288</v>
      </c>
      <c r="Q358" s="192">
        <v>0.35699550393101998</v>
      </c>
      <c r="R358" s="192">
        <v>0.30116517144403704</v>
      </c>
      <c r="S358" s="192">
        <v>0.24905240972070156</v>
      </c>
      <c r="T358" s="192">
        <v>0.20000000000000004</v>
      </c>
      <c r="U358" s="192">
        <v>0.20000000000000012</v>
      </c>
      <c r="V358" s="192">
        <v>0.19999999999999996</v>
      </c>
      <c r="W358" s="192">
        <v>0.2</v>
      </c>
      <c r="X358" s="192">
        <v>0.19999999999999993</v>
      </c>
      <c r="Y358" s="192">
        <v>0.19999999999999996</v>
      </c>
      <c r="Z358" s="192">
        <v>0.2</v>
      </c>
      <c r="AA358" s="192">
        <v>0.19999999999999987</v>
      </c>
      <c r="AB358" s="192">
        <v>0.19999999999999984</v>
      </c>
      <c r="AC358" s="192">
        <v>0.20000000000000009</v>
      </c>
      <c r="AD358" s="192">
        <v>0.2</v>
      </c>
      <c r="AE358" s="192">
        <v>0.19999999999999982</v>
      </c>
      <c r="AF358" s="192">
        <v>0.20000000000000004</v>
      </c>
      <c r="AG358" s="192">
        <v>0.19999999999999993</v>
      </c>
      <c r="AH358" s="192">
        <v>0.19999999999999998</v>
      </c>
      <c r="AI358" s="192">
        <v>0.20000000000000012</v>
      </c>
      <c r="AJ358" s="192">
        <v>0.19999999999999998</v>
      </c>
      <c r="AK358" s="192">
        <v>0.19999999999999996</v>
      </c>
      <c r="AL358" s="192">
        <v>0.19999999999999987</v>
      </c>
      <c r="AM358" s="192">
        <v>0.19999999999999996</v>
      </c>
      <c r="AN358" s="192">
        <v>0.20000000000000007</v>
      </c>
      <c r="AO358" s="192">
        <v>0.2</v>
      </c>
      <c r="AP358" s="192">
        <v>0.1999999999999999</v>
      </c>
      <c r="AQ358" s="192">
        <v>0.20000000000000007</v>
      </c>
      <c r="AR358" s="192">
        <v>0.1999999999999999</v>
      </c>
    </row>
    <row r="359" spans="2:44" x14ac:dyDescent="0.2">
      <c r="B359" s="154"/>
      <c r="D359" s="155"/>
      <c r="G359" s="154"/>
      <c r="H359" s="154"/>
      <c r="I359" s="154"/>
      <c r="J359" s="154" t="s">
        <v>271</v>
      </c>
      <c r="K359" s="154"/>
      <c r="L359" s="206"/>
      <c r="W359" s="172"/>
    </row>
    <row r="360" spans="2:44" x14ac:dyDescent="0.2">
      <c r="B360" s="139"/>
      <c r="C360" s="140" t="s">
        <v>272</v>
      </c>
      <c r="D360" s="141"/>
      <c r="E360" s="140"/>
      <c r="F360" s="140"/>
      <c r="G360" s="142"/>
      <c r="H360" s="142"/>
      <c r="I360" s="139"/>
      <c r="J360" s="139"/>
      <c r="K360" s="139"/>
      <c r="L360" s="143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0"/>
      <c r="X360" s="144"/>
      <c r="Y360" s="144"/>
      <c r="Z360" s="144"/>
      <c r="AA360" s="144"/>
      <c r="AB360" s="144"/>
      <c r="AC360" s="144"/>
      <c r="AD360" s="144"/>
      <c r="AE360" s="144"/>
      <c r="AF360" s="144"/>
      <c r="AG360" s="144"/>
      <c r="AH360" s="144"/>
      <c r="AI360" s="144"/>
      <c r="AJ360" s="144"/>
      <c r="AK360" s="144"/>
      <c r="AL360" s="144"/>
      <c r="AM360" s="144"/>
      <c r="AN360" s="144"/>
      <c r="AO360" s="144"/>
      <c r="AP360" s="144"/>
      <c r="AQ360" s="144"/>
      <c r="AR360" s="144"/>
    </row>
    <row r="361" spans="2:44" x14ac:dyDescent="0.2">
      <c r="B361" s="230"/>
      <c r="C361" s="146" t="s">
        <v>218</v>
      </c>
      <c r="D361" s="147" t="s">
        <v>219</v>
      </c>
      <c r="E361" s="230"/>
      <c r="F361" s="230"/>
      <c r="G361" s="231">
        <v>2019</v>
      </c>
      <c r="H361" s="231">
        <v>2020</v>
      </c>
      <c r="I361" s="231">
        <v>2021</v>
      </c>
      <c r="J361" s="231">
        <v>2022</v>
      </c>
      <c r="K361" s="231">
        <v>2023</v>
      </c>
      <c r="L361" s="232">
        <v>45352</v>
      </c>
      <c r="M361" s="231">
        <v>2024</v>
      </c>
      <c r="N361" s="230">
        <v>2025</v>
      </c>
      <c r="O361" s="230">
        <v>2026</v>
      </c>
      <c r="P361" s="230">
        <v>2027</v>
      </c>
      <c r="Q361" s="230">
        <v>2028</v>
      </c>
      <c r="R361" s="230">
        <v>2029</v>
      </c>
      <c r="S361" s="230">
        <v>2030</v>
      </c>
      <c r="T361" s="230">
        <v>2031</v>
      </c>
      <c r="U361" s="230">
        <v>2032</v>
      </c>
      <c r="V361" s="230">
        <v>2033</v>
      </c>
      <c r="W361" s="230">
        <v>2034</v>
      </c>
      <c r="X361" s="230">
        <v>2035</v>
      </c>
      <c r="Y361" s="230">
        <v>2036</v>
      </c>
      <c r="Z361" s="230">
        <v>2037</v>
      </c>
      <c r="AA361" s="230">
        <v>2038</v>
      </c>
      <c r="AB361" s="230">
        <v>2039</v>
      </c>
      <c r="AC361" s="230">
        <v>2040</v>
      </c>
      <c r="AD361" s="230">
        <v>2041</v>
      </c>
      <c r="AE361" s="230">
        <v>2042</v>
      </c>
      <c r="AF361" s="230">
        <v>2043</v>
      </c>
      <c r="AG361" s="230">
        <v>2044</v>
      </c>
      <c r="AH361" s="230">
        <v>2045</v>
      </c>
      <c r="AI361" s="230">
        <v>2046</v>
      </c>
      <c r="AJ361" s="230">
        <v>2047</v>
      </c>
      <c r="AK361" s="230">
        <v>2048</v>
      </c>
      <c r="AL361" s="230">
        <v>2049</v>
      </c>
      <c r="AM361" s="230">
        <v>2050</v>
      </c>
      <c r="AN361" s="230">
        <v>2051</v>
      </c>
      <c r="AO361" s="230">
        <v>2052</v>
      </c>
      <c r="AP361" s="230">
        <v>2053</v>
      </c>
      <c r="AQ361" s="230">
        <v>2054</v>
      </c>
      <c r="AR361" s="230">
        <v>2055</v>
      </c>
    </row>
    <row r="362" spans="2:44" x14ac:dyDescent="0.2">
      <c r="B362" s="150"/>
      <c r="C362" s="150"/>
      <c r="D362" s="151"/>
      <c r="E362" s="150"/>
      <c r="F362" s="150"/>
      <c r="G362" s="152"/>
      <c r="H362" s="152"/>
      <c r="I362" s="152"/>
      <c r="J362" s="152"/>
      <c r="K362" s="152"/>
      <c r="L362" s="153"/>
      <c r="M362" s="152"/>
      <c r="N362" s="150"/>
      <c r="O362" s="150"/>
      <c r="P362" s="150"/>
      <c r="Q362" s="150"/>
      <c r="R362" s="150"/>
      <c r="S362" s="150"/>
      <c r="T362" s="150"/>
      <c r="U362" s="150"/>
      <c r="V362" s="150"/>
      <c r="W362" s="150"/>
      <c r="X362" s="150"/>
      <c r="Y362" s="150"/>
      <c r="Z362" s="150"/>
      <c r="AA362" s="150"/>
      <c r="AB362" s="150"/>
      <c r="AC362" s="150"/>
      <c r="AD362" s="150"/>
      <c r="AE362" s="150"/>
      <c r="AF362" s="150"/>
      <c r="AG362" s="150"/>
      <c r="AH362" s="150"/>
      <c r="AI362" s="150"/>
      <c r="AJ362" s="150"/>
      <c r="AK362" s="150"/>
      <c r="AL362" s="150"/>
      <c r="AM362" s="150"/>
      <c r="AN362" s="150"/>
      <c r="AO362" s="150"/>
      <c r="AP362" s="150"/>
      <c r="AQ362" s="150"/>
      <c r="AR362" s="150"/>
    </row>
    <row r="363" spans="2:44" x14ac:dyDescent="0.2">
      <c r="B363" s="150"/>
      <c r="C363" s="150"/>
      <c r="D363" s="151"/>
      <c r="E363" s="150"/>
      <c r="F363" s="150"/>
      <c r="G363" s="150" t="s">
        <v>243</v>
      </c>
      <c r="H363" s="150" t="s">
        <v>243</v>
      </c>
      <c r="I363" s="150" t="s">
        <v>243</v>
      </c>
      <c r="J363" s="150" t="s">
        <v>243</v>
      </c>
      <c r="K363" s="150" t="s">
        <v>243</v>
      </c>
      <c r="L363" s="150" t="s">
        <v>244</v>
      </c>
      <c r="M363" s="150" t="s">
        <v>245</v>
      </c>
      <c r="N363" s="150"/>
      <c r="O363" s="150"/>
      <c r="P363" s="150"/>
      <c r="Q363" s="150"/>
      <c r="R363" s="150"/>
      <c r="S363" s="150"/>
      <c r="T363" s="150"/>
      <c r="U363" s="150"/>
      <c r="V363" s="150"/>
      <c r="W363" s="150"/>
      <c r="X363" s="150"/>
      <c r="Y363" s="150"/>
      <c r="Z363" s="150"/>
      <c r="AA363" s="150"/>
      <c r="AB363" s="150"/>
      <c r="AC363" s="150"/>
      <c r="AD363" s="150"/>
      <c r="AE363" s="150"/>
      <c r="AF363" s="150"/>
      <c r="AG363" s="150"/>
      <c r="AH363" s="150"/>
      <c r="AI363" s="150"/>
      <c r="AJ363" s="150"/>
      <c r="AK363" s="150"/>
      <c r="AL363" s="150"/>
      <c r="AM363" s="150"/>
      <c r="AN363" s="150"/>
      <c r="AO363" s="150"/>
      <c r="AP363" s="150"/>
      <c r="AQ363" s="150"/>
      <c r="AR363" s="150"/>
    </row>
    <row r="364" spans="2:44" x14ac:dyDescent="0.2">
      <c r="B364" s="154">
        <v>1</v>
      </c>
      <c r="C364" s="137" t="s">
        <v>220</v>
      </c>
      <c r="D364" s="155" t="s">
        <v>221</v>
      </c>
      <c r="G364" s="238">
        <v>0</v>
      </c>
      <c r="H364" s="238">
        <v>0</v>
      </c>
      <c r="I364" s="238">
        <v>0</v>
      </c>
      <c r="J364" s="238">
        <v>0</v>
      </c>
      <c r="K364" s="238">
        <v>1.2840000000000005</v>
      </c>
      <c r="L364" s="238">
        <v>1.284</v>
      </c>
      <c r="M364" s="238">
        <v>1.3073181137278578</v>
      </c>
      <c r="N364" s="238">
        <v>1.748521588412604</v>
      </c>
      <c r="O364" s="238">
        <v>1.7839818978016222</v>
      </c>
      <c r="P364" s="238">
        <v>1.8202086312207271</v>
      </c>
      <c r="Q364" s="238">
        <v>1.8137452647856638</v>
      </c>
      <c r="R364" s="238">
        <v>1.8083449037305219</v>
      </c>
      <c r="S364" s="238">
        <v>1.8050710405168902</v>
      </c>
      <c r="T364" s="238">
        <v>1.8473303310332774</v>
      </c>
      <c r="U364" s="238">
        <v>1.9329171783161205</v>
      </c>
      <c r="V364" s="238">
        <v>2.0225351821703819</v>
      </c>
      <c r="W364" s="238">
        <v>2.1163788552530369</v>
      </c>
      <c r="X364" s="238">
        <v>2.1927645289591013</v>
      </c>
      <c r="Y364" s="238">
        <v>2.2690109308684288</v>
      </c>
      <c r="Z364" s="238">
        <v>2.3479868276064741</v>
      </c>
      <c r="AA364" s="238">
        <v>2.3907584577590373</v>
      </c>
      <c r="AB364" s="238">
        <v>2.4284788829007509</v>
      </c>
      <c r="AC364" s="238">
        <v>2.4635195430209702</v>
      </c>
      <c r="AD364" s="238">
        <v>2.4943019457741715</v>
      </c>
      <c r="AE364" s="238">
        <v>2.5255586286168943</v>
      </c>
      <c r="AF364" s="238">
        <v>2.5573041633723403</v>
      </c>
      <c r="AG364" s="238">
        <v>2.5895540604910252</v>
      </c>
      <c r="AH364" s="238">
        <v>2.6223248462419368</v>
      </c>
      <c r="AI364" s="238">
        <v>2.6556341465247995</v>
      </c>
      <c r="AJ364" s="238">
        <v>2.6895007778749758</v>
      </c>
      <c r="AK364" s="238">
        <v>2.7239448462818063</v>
      </c>
      <c r="AL364" s="238">
        <v>2.7589878544948974</v>
      </c>
      <c r="AM364" s="238">
        <v>2.7946528185510942</v>
      </c>
      <c r="AN364" s="238">
        <v>2.8309643943182117</v>
      </c>
      <c r="AO364" s="238">
        <v>2.867949014920371</v>
      </c>
      <c r="AP364" s="238">
        <v>2.9056350399844937</v>
      </c>
      <c r="AQ364" s="238">
        <v>2.9440529177287145</v>
      </c>
      <c r="AR364" s="238">
        <v>2.9832353610016606</v>
      </c>
    </row>
    <row r="365" spans="2:44" x14ac:dyDescent="0.2">
      <c r="B365" s="154">
        <v>2</v>
      </c>
      <c r="C365" s="137" t="s">
        <v>222</v>
      </c>
      <c r="D365" s="155" t="s">
        <v>223</v>
      </c>
      <c r="G365" s="178">
        <v>0</v>
      </c>
      <c r="H365" s="178">
        <v>0</v>
      </c>
      <c r="I365" s="178">
        <v>0</v>
      </c>
      <c r="J365" s="178">
        <v>0</v>
      </c>
      <c r="K365" s="178">
        <v>5.2710000000000008</v>
      </c>
      <c r="L365" s="178">
        <v>5.270999999999999</v>
      </c>
      <c r="M365" s="178">
        <v>5.2779177926579068</v>
      </c>
      <c r="N365" s="178">
        <v>7.7012300138779972</v>
      </c>
      <c r="O365" s="178">
        <v>7.8638284135707979</v>
      </c>
      <c r="P365" s="178">
        <v>8.0298937350718713</v>
      </c>
      <c r="Q365" s="178">
        <v>5.9293600815776095</v>
      </c>
      <c r="R365" s="178">
        <v>4.7417993506420197</v>
      </c>
      <c r="S365" s="178">
        <v>3.9791926885760156</v>
      </c>
      <c r="T365" s="178">
        <v>3.5301766620849309</v>
      </c>
      <c r="U365" s="178">
        <v>3.6899066918957706</v>
      </c>
      <c r="V365" s="178">
        <v>3.8568731717550699</v>
      </c>
      <c r="W365" s="178">
        <v>4.0314047494290239</v>
      </c>
      <c r="X365" s="178">
        <v>4.213845069381299</v>
      </c>
      <c r="Y365" s="178">
        <v>4.3356472289275452</v>
      </c>
      <c r="Z365" s="178">
        <v>4.393995556237476</v>
      </c>
      <c r="AA365" s="178">
        <v>4.4531713367343837</v>
      </c>
      <c r="AB365" s="178">
        <v>4.5131899946202187</v>
      </c>
      <c r="AC365" s="178">
        <v>4.5740675477389896</v>
      </c>
      <c r="AD365" s="178">
        <v>4.6307931719821864</v>
      </c>
      <c r="AE365" s="178">
        <v>4.6882832101430036</v>
      </c>
      <c r="AF365" s="178">
        <v>4.746553265011058</v>
      </c>
      <c r="AG365" s="178">
        <v>4.8056196824992048</v>
      </c>
      <c r="AH365" s="178">
        <v>4.8654996094965401</v>
      </c>
      <c r="AI365" s="178">
        <v>4.9262110567349664</v>
      </c>
      <c r="AJ365" s="178">
        <v>4.9877729671107218</v>
      </c>
      <c r="AK365" s="178">
        <v>5.0502052899415544</v>
      </c>
      <c r="AL365" s="178">
        <v>5.1135290616824847</v>
      </c>
      <c r="AM365" s="178">
        <v>5.1777664936692824</v>
      </c>
      <c r="AN365" s="178">
        <v>5.2429410675091308</v>
      </c>
      <c r="AO365" s="178">
        <v>5.3090776387925604</v>
      </c>
      <c r="AP365" s="178">
        <v>5.3762025498602455</v>
      </c>
      <c r="AQ365" s="178">
        <v>5.4443437524231681</v>
      </c>
      <c r="AR365" s="178">
        <v>5.5135309409049604</v>
      </c>
    </row>
    <row r="366" spans="2:44" x14ac:dyDescent="0.2">
      <c r="B366" s="154">
        <v>3</v>
      </c>
      <c r="C366" s="137" t="s">
        <v>224</v>
      </c>
      <c r="D366" s="155" t="s">
        <v>225</v>
      </c>
      <c r="G366" s="178">
        <v>0</v>
      </c>
      <c r="H366" s="178">
        <v>0</v>
      </c>
      <c r="I366" s="178">
        <v>0</v>
      </c>
      <c r="J366" s="178">
        <v>0</v>
      </c>
      <c r="K366" s="178">
        <v>4.6500000000000004</v>
      </c>
      <c r="L366" s="178">
        <v>4.6500000000000012</v>
      </c>
      <c r="M366" s="178">
        <v>4.6500000000000012</v>
      </c>
      <c r="N366" s="178">
        <v>5.1230913699853655</v>
      </c>
      <c r="O366" s="178">
        <v>5.1875553998561781</v>
      </c>
      <c r="P366" s="178">
        <v>5.2529536739961928</v>
      </c>
      <c r="Q366" s="178">
        <v>4.4323163181181364</v>
      </c>
      <c r="R366" s="178">
        <v>3.8469330617191075</v>
      </c>
      <c r="S366" s="178">
        <v>3.5032173815652925</v>
      </c>
      <c r="T366" s="178">
        <v>3.2037777306406321</v>
      </c>
      <c r="U366" s="178">
        <v>3.2731951412257634</v>
      </c>
      <c r="V366" s="178">
        <v>3.3445473565917876</v>
      </c>
      <c r="W366" s="178">
        <v>3.4178995967308103</v>
      </c>
      <c r="X366" s="178">
        <v>3.463343913958211</v>
      </c>
      <c r="Y366" s="178">
        <v>3.5054750629944631</v>
      </c>
      <c r="Z366" s="178">
        <v>3.5481274503063975</v>
      </c>
      <c r="AA366" s="178">
        <v>3.5913076200650833</v>
      </c>
      <c r="AB366" s="178">
        <v>3.6350221996328984</v>
      </c>
      <c r="AC366" s="178">
        <v>3.6792779006320053</v>
      </c>
      <c r="AD366" s="178">
        <v>3.7214293973606387</v>
      </c>
      <c r="AE366" s="178">
        <v>3.7640679245773723</v>
      </c>
      <c r="AF366" s="178">
        <v>3.8071991535778618</v>
      </c>
      <c r="AG366" s="178">
        <v>3.8508288221636113</v>
      </c>
      <c r="AH366" s="178">
        <v>3.8893090404939494</v>
      </c>
      <c r="AI366" s="178">
        <v>3.9282145712545518</v>
      </c>
      <c r="AJ366" s="178">
        <v>3.9675503671139194</v>
      </c>
      <c r="AK366" s="178">
        <v>4.0073214398411778</v>
      </c>
      <c r="AL366" s="178">
        <v>4.0475328610192474</v>
      </c>
      <c r="AM366" s="178">
        <v>4.088189762766647</v>
      </c>
      <c r="AN366" s="178">
        <v>4.1292973384680751</v>
      </c>
      <c r="AO366" s="178">
        <v>4.1708608435138386</v>
      </c>
      <c r="AP366" s="178">
        <v>4.2128855960482507</v>
      </c>
      <c r="AQ366" s="178">
        <v>4.2553769777271215</v>
      </c>
      <c r="AR366" s="253">
        <v>4.2983404344844205</v>
      </c>
    </row>
    <row r="367" spans="2:44" x14ac:dyDescent="0.2">
      <c r="B367" s="154">
        <v>4</v>
      </c>
      <c r="C367" s="137" t="s">
        <v>226</v>
      </c>
      <c r="D367" s="155" t="s">
        <v>227</v>
      </c>
      <c r="G367" s="178">
        <v>0</v>
      </c>
      <c r="H367" s="178">
        <v>0</v>
      </c>
      <c r="I367" s="178">
        <v>0</v>
      </c>
      <c r="J367" s="178">
        <v>0</v>
      </c>
      <c r="K367" s="178">
        <v>3.6479999999999992</v>
      </c>
      <c r="L367" s="178">
        <v>3.665996097829666</v>
      </c>
      <c r="M367" s="178">
        <v>3.7711400577194669</v>
      </c>
      <c r="N367" s="178">
        <v>11.010021303860675</v>
      </c>
      <c r="O367" s="178">
        <v>11.19626520092269</v>
      </c>
      <c r="P367" s="178">
        <v>11.387349375744485</v>
      </c>
      <c r="Q367" s="178">
        <v>10.620225212820593</v>
      </c>
      <c r="R367" s="178">
        <v>9.9752888979905823</v>
      </c>
      <c r="S367" s="178">
        <v>9.6570911296649165</v>
      </c>
      <c r="T367" s="178">
        <v>9.3981009767470418</v>
      </c>
      <c r="U367" s="178">
        <v>9.8054956867528098</v>
      </c>
      <c r="V367" s="178">
        <v>10.238102704343982</v>
      </c>
      <c r="W367" s="178">
        <v>10.6975544948228</v>
      </c>
      <c r="X367" s="178">
        <v>11.039515771942423</v>
      </c>
      <c r="Y367" s="178">
        <v>11.387045018792996</v>
      </c>
      <c r="Z367" s="178">
        <v>11.74939611043273</v>
      </c>
      <c r="AA367" s="178">
        <v>12.135028071983546</v>
      </c>
      <c r="AB367" s="178">
        <v>12.537766137187374</v>
      </c>
      <c r="AC367" s="178">
        <v>12.957615231622325</v>
      </c>
      <c r="AD367" s="178">
        <v>13.386148977730434</v>
      </c>
      <c r="AE367" s="178">
        <v>13.833191757974147</v>
      </c>
      <c r="AF367" s="178">
        <v>14.299621135772881</v>
      </c>
      <c r="AG367" s="178">
        <v>14.792949414622663</v>
      </c>
      <c r="AH367" s="178">
        <v>15.304067439748849</v>
      </c>
      <c r="AI367" s="178">
        <v>15.499506033504904</v>
      </c>
      <c r="AJ367" s="178">
        <v>15.700121881264986</v>
      </c>
      <c r="AK367" s="178">
        <v>15.906231705694333</v>
      </c>
      <c r="AL367" s="178">
        <v>16.118178258792319</v>
      </c>
      <c r="AM367" s="178">
        <v>16.336332573455568</v>
      </c>
      <c r="AN367" s="178">
        <v>16.561096411278477</v>
      </c>
      <c r="AO367" s="178">
        <v>16.792904923715792</v>
      </c>
      <c r="AP367" s="178">
        <v>17.032229545226897</v>
      </c>
      <c r="AQ367" s="178">
        <v>17.279581138646957</v>
      </c>
      <c r="AR367" s="253">
        <v>17.535513414797403</v>
      </c>
    </row>
    <row r="368" spans="2:44" x14ac:dyDescent="0.2">
      <c r="B368" s="154">
        <v>5</v>
      </c>
      <c r="C368" s="137" t="s">
        <v>228</v>
      </c>
      <c r="D368" s="155" t="s">
        <v>221</v>
      </c>
      <c r="G368" s="178">
        <v>0</v>
      </c>
      <c r="H368" s="178">
        <v>0</v>
      </c>
      <c r="I368" s="178">
        <v>0</v>
      </c>
      <c r="J368" s="178">
        <v>0</v>
      </c>
      <c r="K368" s="178">
        <v>1.8949999999999998</v>
      </c>
      <c r="L368" s="178">
        <v>1.895</v>
      </c>
      <c r="M368" s="178">
        <v>1.922595874932838</v>
      </c>
      <c r="N368" s="178">
        <v>6.035703773366893</v>
      </c>
      <c r="O368" s="178">
        <v>6.1287675799805985</v>
      </c>
      <c r="P368" s="178">
        <v>6.2234432180243529</v>
      </c>
      <c r="Q368" s="178">
        <v>5.8229026664878356</v>
      </c>
      <c r="R368" s="178">
        <v>5.4870007517615784</v>
      </c>
      <c r="S368" s="178">
        <v>5.201102214912205</v>
      </c>
      <c r="T368" s="178">
        <v>4.9450538242911213</v>
      </c>
      <c r="U368" s="178">
        <v>5.0212496992186839</v>
      </c>
      <c r="V368" s="178">
        <v>5.0988529510314144</v>
      </c>
      <c r="W368" s="178">
        <v>5.1754482025626132</v>
      </c>
      <c r="X368" s="178">
        <v>5.2534090458535285</v>
      </c>
      <c r="Y368" s="178">
        <v>5.3259684707239661</v>
      </c>
      <c r="Z368" s="178">
        <v>5.3997826461110021</v>
      </c>
      <c r="AA368" s="178">
        <v>5.4748911104928277</v>
      </c>
      <c r="AB368" s="178">
        <v>5.5486255343519524</v>
      </c>
      <c r="AC368" s="178">
        <v>5.6236596339353895</v>
      </c>
      <c r="AD368" s="178">
        <v>5.6948492782233959</v>
      </c>
      <c r="AE368" s="178">
        <v>5.7682293925723043</v>
      </c>
      <c r="AF368" s="178">
        <v>5.8429256878958764</v>
      </c>
      <c r="AG368" s="178">
        <v>5.9189913100768532</v>
      </c>
      <c r="AH368" s="178">
        <v>5.9964832944238715</v>
      </c>
      <c r="AI368" s="178">
        <v>6.0754628961607224</v>
      </c>
      <c r="AJ368" s="178">
        <v>6.1559959496684931</v>
      </c>
      <c r="AK368" s="178">
        <v>6.238153258991038</v>
      </c>
      <c r="AL368" s="178">
        <v>6.3220110223335046</v>
      </c>
      <c r="AM368" s="178">
        <v>6.4076512935221812</v>
      </c>
      <c r="AN368" s="178">
        <v>6.4951624836532904</v>
      </c>
      <c r="AO368" s="178">
        <v>6.5846399064403194</v>
      </c>
      <c r="AP368" s="178">
        <v>6.6761863710762119</v>
      </c>
      <c r="AQ368" s="178">
        <v>6.7699128267602022</v>
      </c>
      <c r="AR368" s="253">
        <v>6.865939063401588</v>
      </c>
    </row>
    <row r="369" spans="1:44" x14ac:dyDescent="0.2">
      <c r="B369" s="154">
        <v>6</v>
      </c>
      <c r="C369" s="137" t="s">
        <v>229</v>
      </c>
      <c r="D369" s="155" t="s">
        <v>230</v>
      </c>
      <c r="G369" s="178">
        <v>0</v>
      </c>
      <c r="H369" s="178">
        <v>0</v>
      </c>
      <c r="I369" s="178">
        <v>0</v>
      </c>
      <c r="J369" s="178">
        <v>0</v>
      </c>
      <c r="K369" s="178">
        <v>4.246399423215574</v>
      </c>
      <c r="L369" s="178">
        <v>4.080000000000001</v>
      </c>
      <c r="M369" s="178">
        <v>5.8808279812388511</v>
      </c>
      <c r="N369" s="178">
        <v>14.452294970459068</v>
      </c>
      <c r="O369" s="178">
        <v>15.037429307935474</v>
      </c>
      <c r="P369" s="178">
        <v>15.634602872174041</v>
      </c>
      <c r="Q369" s="178">
        <v>16.155342269828999</v>
      </c>
      <c r="R369" s="178">
        <v>16.700783707116365</v>
      </c>
      <c r="S369" s="178">
        <v>17.416250018438124</v>
      </c>
      <c r="T369" s="178">
        <v>18.170109695950273</v>
      </c>
      <c r="U369" s="178">
        <v>19.123041756497088</v>
      </c>
      <c r="V369" s="178">
        <v>20.13292820838274</v>
      </c>
      <c r="W369" s="178">
        <v>21.186509493749604</v>
      </c>
      <c r="X369" s="178">
        <v>21.906836689153799</v>
      </c>
      <c r="Y369" s="178">
        <v>22.688422675537172</v>
      </c>
      <c r="Z369" s="178">
        <v>23.481430141831943</v>
      </c>
      <c r="AA369" s="178">
        <v>24.352599417877187</v>
      </c>
      <c r="AB369" s="178">
        <v>25.258280301704179</v>
      </c>
      <c r="AC369" s="178">
        <v>26.177141797147065</v>
      </c>
      <c r="AD369" s="178">
        <v>27.14109267035635</v>
      </c>
      <c r="AE369" s="178">
        <v>28.147094939017865</v>
      </c>
      <c r="AF369" s="178">
        <v>28.735354827381308</v>
      </c>
      <c r="AG369" s="178">
        <v>29.022349784689293</v>
      </c>
      <c r="AH369" s="178">
        <v>29.390216617028781</v>
      </c>
      <c r="AI369" s="178">
        <v>29.727590350984865</v>
      </c>
      <c r="AJ369" s="178">
        <v>30.066309914867002</v>
      </c>
      <c r="AK369" s="178">
        <v>30.422302904571961</v>
      </c>
      <c r="AL369" s="178">
        <v>30.779674062254497</v>
      </c>
      <c r="AM369" s="178">
        <v>31.13843984959507</v>
      </c>
      <c r="AN369" s="178">
        <v>31.530439973811433</v>
      </c>
      <c r="AO369" s="178">
        <v>31.907956724561135</v>
      </c>
      <c r="AP369" s="178">
        <v>32.290107871848214</v>
      </c>
      <c r="AQ369" s="178">
        <v>32.707565576035122</v>
      </c>
      <c r="AR369" s="253">
        <v>33.110655416694385</v>
      </c>
    </row>
    <row r="370" spans="1:44" x14ac:dyDescent="0.2">
      <c r="B370" s="154">
        <v>7</v>
      </c>
      <c r="C370" s="137" t="s">
        <v>231</v>
      </c>
      <c r="D370" s="155" t="s">
        <v>225</v>
      </c>
      <c r="G370" s="178">
        <v>0</v>
      </c>
      <c r="H370" s="178">
        <v>0</v>
      </c>
      <c r="I370" s="178">
        <v>0</v>
      </c>
      <c r="J370" s="178">
        <v>0</v>
      </c>
      <c r="K370" s="178">
        <v>0.77798027525523106</v>
      </c>
      <c r="L370" s="178">
        <v>1.098167357654843</v>
      </c>
      <c r="M370" s="178">
        <v>1.1033027979909424</v>
      </c>
      <c r="N370" s="178">
        <v>1.1282515390271741</v>
      </c>
      <c r="O370" s="178">
        <v>1.1477988138719841</v>
      </c>
      <c r="P370" s="178">
        <v>1.1688860565019046</v>
      </c>
      <c r="Q370" s="178">
        <v>1.201530653794183</v>
      </c>
      <c r="R370" s="178">
        <v>1.2352771360046684</v>
      </c>
      <c r="S370" s="178">
        <v>1.2994042874398262</v>
      </c>
      <c r="T370" s="178">
        <v>1.3665212425246054</v>
      </c>
      <c r="U370" s="178">
        <v>1.4273568443357456</v>
      </c>
      <c r="V370" s="178">
        <v>1.4907026873210352</v>
      </c>
      <c r="W370" s="178">
        <v>1.5571239020171004</v>
      </c>
      <c r="X370" s="178">
        <v>1.6136146192284908</v>
      </c>
      <c r="Y370" s="178">
        <v>1.634798375512827</v>
      </c>
      <c r="Z370" s="178">
        <v>1.656334648676584</v>
      </c>
      <c r="AA370" s="178">
        <v>1.6782322124470341</v>
      </c>
      <c r="AB370" s="178">
        <v>1.7005002679826069</v>
      </c>
      <c r="AC370" s="178">
        <v>1.7231475294834053</v>
      </c>
      <c r="AD370" s="178">
        <v>1.7422353190607749</v>
      </c>
      <c r="AE370" s="178">
        <v>1.7616116284842434</v>
      </c>
      <c r="AF370" s="178">
        <v>1.7812852329868634</v>
      </c>
      <c r="AG370" s="178">
        <v>1.8012654717651233</v>
      </c>
      <c r="AH370" s="178">
        <v>1.8215622942295029</v>
      </c>
      <c r="AI370" s="178">
        <v>1.8435451925031527</v>
      </c>
      <c r="AJ370" s="178">
        <v>1.8656838900263397</v>
      </c>
      <c r="AK370" s="178">
        <v>1.8881875843605413</v>
      </c>
      <c r="AL370" s="178">
        <v>1.9120506997034306</v>
      </c>
      <c r="AM370" s="178">
        <v>1.9362153129681969</v>
      </c>
      <c r="AN370" s="178">
        <v>1.9607979574051737</v>
      </c>
      <c r="AO370" s="178">
        <v>1.9858148432108562</v>
      </c>
      <c r="AP370" s="178">
        <v>2.0112833395480303</v>
      </c>
      <c r="AQ370" s="178">
        <v>2.0372220714628098</v>
      </c>
      <c r="AR370" s="253">
        <v>2.0636510251090843</v>
      </c>
    </row>
    <row r="371" spans="1:44" x14ac:dyDescent="0.2">
      <c r="B371" s="154">
        <v>8</v>
      </c>
      <c r="C371" s="137" t="s">
        <v>232</v>
      </c>
      <c r="D371" s="155" t="s">
        <v>233</v>
      </c>
      <c r="G371" s="178">
        <v>0</v>
      </c>
      <c r="H371" s="178">
        <v>0</v>
      </c>
      <c r="I371" s="178">
        <v>0</v>
      </c>
      <c r="J371" s="178">
        <v>0</v>
      </c>
      <c r="K371" s="178">
        <v>9.6850301369863008</v>
      </c>
      <c r="L371" s="178">
        <v>9.116714285714286</v>
      </c>
      <c r="M371" s="178">
        <v>9.6441482354551535</v>
      </c>
      <c r="N371" s="178">
        <v>51.32146367783313</v>
      </c>
      <c r="O371" s="178">
        <v>52.00916993566468</v>
      </c>
      <c r="P371" s="178">
        <v>52.711421468327998</v>
      </c>
      <c r="Q371" s="178">
        <v>48.357651046027762</v>
      </c>
      <c r="R371" s="178">
        <v>44.771623821583852</v>
      </c>
      <c r="S371" s="178">
        <v>41.773117389913878</v>
      </c>
      <c r="T371" s="178">
        <v>39.194598627533772</v>
      </c>
      <c r="U371" s="178">
        <v>39.713571764925682</v>
      </c>
      <c r="V371" s="178">
        <v>40.244435854447858</v>
      </c>
      <c r="W371" s="178">
        <v>40.787713737736965</v>
      </c>
      <c r="X371" s="178">
        <v>41.342326167227313</v>
      </c>
      <c r="Y371" s="178">
        <v>41.866748008391319</v>
      </c>
      <c r="Z371" s="178">
        <v>42.404074691155245</v>
      </c>
      <c r="AA371" s="178">
        <v>42.954966887535448</v>
      </c>
      <c r="AB371" s="178">
        <v>43.520135365380142</v>
      </c>
      <c r="AC371" s="178">
        <v>44.098535605699865</v>
      </c>
      <c r="AD371" s="178">
        <v>44.656457897618495</v>
      </c>
      <c r="AE371" s="178">
        <v>45.230150301445939</v>
      </c>
      <c r="AF371" s="178">
        <v>45.820550633165993</v>
      </c>
      <c r="AG371" s="178">
        <v>46.428671384875038</v>
      </c>
      <c r="AH371" s="178">
        <v>47.055606051683455</v>
      </c>
      <c r="AI371" s="178">
        <v>47.70253600123884</v>
      </c>
      <c r="AJ371" s="178">
        <v>48.370737932538013</v>
      </c>
      <c r="AK371" s="178">
        <v>49.061591974711448</v>
      </c>
      <c r="AL371" s="178">
        <v>49.776590480825526</v>
      </c>
      <c r="AM371" s="178">
        <v>50.517347576486586</v>
      </c>
      <c r="AN371" s="178">
        <v>51.285609528175804</v>
      </c>
      <c r="AO371" s="178">
        <v>52.083266001833067</v>
      </c>
      <c r="AP371" s="178">
        <v>52.912362288277954</v>
      </c>
      <c r="AQ371" s="178">
        <v>53.775112578647786</v>
      </c>
      <c r="AR371" s="253">
        <v>54.459304389264332</v>
      </c>
    </row>
    <row r="372" spans="1:44" x14ac:dyDescent="0.2">
      <c r="B372" s="157"/>
      <c r="C372" s="158" t="s">
        <v>84</v>
      </c>
      <c r="D372" s="159"/>
      <c r="E372" s="158"/>
      <c r="F372" s="158"/>
      <c r="G372" s="183">
        <v>0</v>
      </c>
      <c r="H372" s="183">
        <v>0</v>
      </c>
      <c r="I372" s="183">
        <v>0</v>
      </c>
      <c r="J372" s="183">
        <v>0</v>
      </c>
      <c r="K372" s="183">
        <v>31.457409835457106</v>
      </c>
      <c r="L372" s="183">
        <v>31.060877741198802</v>
      </c>
      <c r="M372" s="183">
        <v>33.557250853723019</v>
      </c>
      <c r="N372" s="180">
        <v>98.520578236822899</v>
      </c>
      <c r="O372" s="180">
        <v>100.35479654960403</v>
      </c>
      <c r="P372" s="180">
        <v>102.22875903106157</v>
      </c>
      <c r="Q372" s="180">
        <v>94.33307351344078</v>
      </c>
      <c r="R372" s="180">
        <v>88.56705163054869</v>
      </c>
      <c r="S372" s="180">
        <v>84.634446151027149</v>
      </c>
      <c r="T372" s="180">
        <v>81.655669090805659</v>
      </c>
      <c r="U372" s="180">
        <v>83.986734763167675</v>
      </c>
      <c r="V372" s="180">
        <v>86.428978116044263</v>
      </c>
      <c r="W372" s="180">
        <v>88.970033032301956</v>
      </c>
      <c r="X372" s="180">
        <v>91.025655805704162</v>
      </c>
      <c r="Y372" s="180">
        <v>93.013115771748716</v>
      </c>
      <c r="Z372" s="180">
        <v>94.981128072357848</v>
      </c>
      <c r="AA372" s="180">
        <v>97.030955114894539</v>
      </c>
      <c r="AB372" s="180">
        <v>99.141998683760121</v>
      </c>
      <c r="AC372" s="180">
        <v>101.29696478928003</v>
      </c>
      <c r="AD372" s="180">
        <v>103.46730865810645</v>
      </c>
      <c r="AE372" s="180">
        <v>105.71818778283176</v>
      </c>
      <c r="AF372" s="180">
        <v>107.59079409916419</v>
      </c>
      <c r="AG372" s="180">
        <v>109.21022993118282</v>
      </c>
      <c r="AH372" s="180">
        <v>110.94506919334688</v>
      </c>
      <c r="AI372" s="180">
        <v>112.35870024890681</v>
      </c>
      <c r="AJ372" s="180">
        <v>113.80367368046447</v>
      </c>
      <c r="AK372" s="180">
        <v>115.29793900439385</v>
      </c>
      <c r="AL372" s="180">
        <v>116.8285543011059</v>
      </c>
      <c r="AM372" s="180">
        <v>118.39659568101463</v>
      </c>
      <c r="AN372" s="180">
        <v>120.0363091546196</v>
      </c>
      <c r="AO372" s="180">
        <v>121.70246989698795</v>
      </c>
      <c r="AP372" s="180">
        <v>123.4168926018703</v>
      </c>
      <c r="AQ372" s="180">
        <v>125.21316783943189</v>
      </c>
      <c r="AR372" s="180">
        <v>126.83017004565782</v>
      </c>
    </row>
    <row r="373" spans="1:44" x14ac:dyDescent="0.2">
      <c r="B373" s="154"/>
      <c r="D373" s="155"/>
      <c r="G373" s="154"/>
      <c r="H373" s="154"/>
      <c r="I373" s="154"/>
      <c r="J373" s="154"/>
      <c r="K373" s="154"/>
      <c r="L373" s="206"/>
      <c r="W373" s="172"/>
    </row>
    <row r="374" spans="1:44" x14ac:dyDescent="0.2">
      <c r="A374" s="254" t="s">
        <v>273</v>
      </c>
      <c r="B374" s="139"/>
      <c r="C374" s="140" t="s">
        <v>274</v>
      </c>
      <c r="D374" s="141"/>
      <c r="E374" s="140"/>
      <c r="F374" s="140"/>
      <c r="G374" s="142"/>
      <c r="H374" s="142"/>
      <c r="I374" s="139"/>
      <c r="J374" s="139"/>
      <c r="K374" s="139"/>
      <c r="L374" s="143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0"/>
      <c r="X374" s="144"/>
      <c r="Y374" s="144"/>
      <c r="Z374" s="144"/>
      <c r="AA374" s="144"/>
      <c r="AB374" s="144"/>
      <c r="AC374" s="144"/>
      <c r="AD374" s="144"/>
      <c r="AE374" s="144"/>
      <c r="AF374" s="144"/>
      <c r="AG374" s="144"/>
      <c r="AH374" s="144"/>
      <c r="AI374" s="144"/>
      <c r="AJ374" s="144"/>
      <c r="AK374" s="144"/>
      <c r="AL374" s="144"/>
      <c r="AM374" s="144"/>
      <c r="AN374" s="144"/>
      <c r="AO374" s="144"/>
      <c r="AP374" s="144"/>
      <c r="AQ374" s="144"/>
      <c r="AR374" s="144"/>
    </row>
    <row r="375" spans="1:44" x14ac:dyDescent="0.2">
      <c r="B375" s="230"/>
      <c r="C375" s="146" t="s">
        <v>218</v>
      </c>
      <c r="D375" s="147" t="s">
        <v>219</v>
      </c>
      <c r="E375" s="230"/>
      <c r="F375" s="230"/>
      <c r="G375" s="231">
        <v>2019</v>
      </c>
      <c r="H375" s="231">
        <v>2020</v>
      </c>
      <c r="I375" s="231">
        <v>2021</v>
      </c>
      <c r="J375" s="231">
        <v>2022</v>
      </c>
      <c r="K375" s="231">
        <v>2023</v>
      </c>
      <c r="L375" s="232">
        <v>45352</v>
      </c>
      <c r="M375" s="231">
        <v>2024</v>
      </c>
      <c r="N375" s="230">
        <v>2025</v>
      </c>
      <c r="O375" s="230">
        <v>2026</v>
      </c>
      <c r="P375" s="230">
        <v>2027</v>
      </c>
      <c r="Q375" s="230">
        <v>2028</v>
      </c>
      <c r="R375" s="230">
        <v>2029</v>
      </c>
      <c r="S375" s="230">
        <v>2030</v>
      </c>
      <c r="T375" s="230">
        <v>2031</v>
      </c>
      <c r="U375" s="230">
        <v>2032</v>
      </c>
      <c r="V375" s="230">
        <v>2033</v>
      </c>
      <c r="W375" s="230">
        <v>2034</v>
      </c>
      <c r="X375" s="230">
        <v>2035</v>
      </c>
      <c r="Y375" s="230">
        <v>2036</v>
      </c>
      <c r="Z375" s="230">
        <v>2037</v>
      </c>
      <c r="AA375" s="230">
        <v>2038</v>
      </c>
      <c r="AB375" s="230">
        <v>2039</v>
      </c>
      <c r="AC375" s="230">
        <v>2040</v>
      </c>
      <c r="AD375" s="230">
        <v>2041</v>
      </c>
      <c r="AE375" s="230">
        <v>2042</v>
      </c>
      <c r="AF375" s="230">
        <v>2043</v>
      </c>
      <c r="AG375" s="230">
        <v>2044</v>
      </c>
      <c r="AH375" s="230">
        <v>2045</v>
      </c>
      <c r="AI375" s="230">
        <v>2046</v>
      </c>
      <c r="AJ375" s="230">
        <v>2047</v>
      </c>
      <c r="AK375" s="230">
        <v>2048</v>
      </c>
      <c r="AL375" s="230">
        <v>2049</v>
      </c>
      <c r="AM375" s="230">
        <v>2050</v>
      </c>
      <c r="AN375" s="230">
        <v>2051</v>
      </c>
      <c r="AO375" s="230">
        <v>2052</v>
      </c>
      <c r="AP375" s="230">
        <v>2053</v>
      </c>
      <c r="AQ375" s="230">
        <v>2054</v>
      </c>
      <c r="AR375" s="230">
        <v>2055</v>
      </c>
    </row>
    <row r="376" spans="1:44" x14ac:dyDescent="0.2">
      <c r="B376" s="150"/>
      <c r="C376" s="150"/>
      <c r="D376" s="151"/>
      <c r="E376" s="150"/>
      <c r="F376" s="150"/>
      <c r="G376" s="152"/>
      <c r="H376" s="152"/>
      <c r="I376" s="152"/>
      <c r="J376" s="152"/>
      <c r="K376" s="152"/>
      <c r="L376" s="153"/>
      <c r="M376" s="152"/>
      <c r="N376" s="150"/>
      <c r="O376" s="150"/>
      <c r="P376" s="150"/>
      <c r="Q376" s="150"/>
      <c r="R376" s="150"/>
      <c r="S376" s="150"/>
      <c r="T376" s="150"/>
      <c r="U376" s="150"/>
      <c r="V376" s="150"/>
      <c r="W376" s="150"/>
      <c r="X376" s="150"/>
      <c r="Y376" s="150"/>
      <c r="Z376" s="150"/>
      <c r="AA376" s="150"/>
      <c r="AB376" s="150"/>
      <c r="AC376" s="150"/>
      <c r="AD376" s="150"/>
      <c r="AE376" s="150"/>
      <c r="AF376" s="150"/>
      <c r="AG376" s="150"/>
      <c r="AH376" s="150"/>
      <c r="AI376" s="150"/>
      <c r="AJ376" s="150"/>
      <c r="AK376" s="150"/>
      <c r="AL376" s="150"/>
      <c r="AM376" s="150"/>
      <c r="AN376" s="150"/>
      <c r="AO376" s="150"/>
      <c r="AP376" s="150"/>
      <c r="AQ376" s="150"/>
      <c r="AR376" s="150"/>
    </row>
    <row r="377" spans="1:44" x14ac:dyDescent="0.2">
      <c r="B377" s="150"/>
      <c r="C377" s="150"/>
      <c r="D377" s="151"/>
      <c r="E377" s="150"/>
      <c r="F377" s="150"/>
      <c r="G377" s="150" t="s">
        <v>243</v>
      </c>
      <c r="H377" s="150" t="s">
        <v>243</v>
      </c>
      <c r="I377" s="150" t="s">
        <v>243</v>
      </c>
      <c r="J377" s="150" t="s">
        <v>243</v>
      </c>
      <c r="K377" s="150" t="s">
        <v>243</v>
      </c>
      <c r="L377" s="150" t="s">
        <v>244</v>
      </c>
      <c r="M377" s="150" t="s">
        <v>245</v>
      </c>
      <c r="N377" s="150"/>
      <c r="O377" s="150"/>
      <c r="P377" s="150"/>
      <c r="Q377" s="150"/>
      <c r="R377" s="150"/>
      <c r="S377" s="150"/>
      <c r="T377" s="150"/>
      <c r="U377" s="150"/>
      <c r="V377" s="150"/>
      <c r="W377" s="150"/>
      <c r="X377" s="150"/>
      <c r="Y377" s="150"/>
      <c r="Z377" s="150"/>
      <c r="AA377" s="150"/>
      <c r="AB377" s="150"/>
      <c r="AC377" s="150"/>
      <c r="AD377" s="150"/>
      <c r="AE377" s="150"/>
      <c r="AF377" s="150"/>
      <c r="AG377" s="150"/>
      <c r="AH377" s="150"/>
      <c r="AI377" s="150"/>
      <c r="AJ377" s="150"/>
      <c r="AK377" s="150"/>
      <c r="AL377" s="150"/>
      <c r="AM377" s="150"/>
      <c r="AN377" s="150"/>
      <c r="AO377" s="150"/>
      <c r="AP377" s="150"/>
      <c r="AQ377" s="150"/>
      <c r="AR377" s="150"/>
    </row>
    <row r="378" spans="1:44" x14ac:dyDescent="0.2">
      <c r="B378" s="255">
        <v>1</v>
      </c>
      <c r="C378" s="254" t="s">
        <v>220</v>
      </c>
      <c r="D378" s="256" t="s">
        <v>221</v>
      </c>
      <c r="E378" s="254"/>
      <c r="G378" s="238">
        <v>0</v>
      </c>
      <c r="H378" s="238">
        <v>0</v>
      </c>
      <c r="I378" s="238">
        <v>0</v>
      </c>
      <c r="J378" s="238">
        <v>0</v>
      </c>
      <c r="K378" s="238">
        <v>1.284</v>
      </c>
      <c r="L378" s="238">
        <v>1.284</v>
      </c>
      <c r="M378" s="238">
        <v>1.284</v>
      </c>
      <c r="N378" s="238">
        <v>1.284</v>
      </c>
      <c r="O378" s="238">
        <v>1.284</v>
      </c>
      <c r="P378" s="238">
        <v>1.284</v>
      </c>
      <c r="Q378" s="238">
        <v>1.284</v>
      </c>
      <c r="R378" s="238">
        <v>1.284</v>
      </c>
      <c r="S378" s="238">
        <v>0</v>
      </c>
      <c r="T378" s="238">
        <v>0</v>
      </c>
      <c r="U378" s="238">
        <v>0</v>
      </c>
      <c r="V378" s="238">
        <v>0</v>
      </c>
      <c r="W378" s="238">
        <v>0</v>
      </c>
      <c r="X378" s="238">
        <v>0</v>
      </c>
      <c r="Y378" s="238">
        <v>0</v>
      </c>
      <c r="Z378" s="238">
        <v>0</v>
      </c>
      <c r="AA378" s="238">
        <v>0</v>
      </c>
      <c r="AB378" s="238">
        <v>0</v>
      </c>
      <c r="AC378" s="238">
        <v>0</v>
      </c>
      <c r="AD378" s="238">
        <v>0</v>
      </c>
      <c r="AE378" s="238">
        <v>0</v>
      </c>
      <c r="AF378" s="238">
        <v>0</v>
      </c>
      <c r="AG378" s="238">
        <v>0</v>
      </c>
      <c r="AH378" s="238">
        <v>0</v>
      </c>
      <c r="AI378" s="238">
        <v>0</v>
      </c>
      <c r="AJ378" s="238">
        <v>0</v>
      </c>
      <c r="AK378" s="238">
        <v>0</v>
      </c>
      <c r="AL378" s="238">
        <v>0</v>
      </c>
      <c r="AM378" s="238">
        <v>0</v>
      </c>
      <c r="AN378" s="238">
        <v>0</v>
      </c>
      <c r="AO378" s="238">
        <v>0</v>
      </c>
      <c r="AP378" s="238">
        <v>0</v>
      </c>
      <c r="AQ378" s="238">
        <v>0</v>
      </c>
      <c r="AR378" s="238">
        <v>0</v>
      </c>
    </row>
    <row r="379" spans="1:44" x14ac:dyDescent="0.2">
      <c r="B379" s="255">
        <v>2</v>
      </c>
      <c r="C379" s="254" t="s">
        <v>222</v>
      </c>
      <c r="D379" s="256" t="s">
        <v>223</v>
      </c>
      <c r="E379" s="254"/>
      <c r="G379" s="178">
        <v>0</v>
      </c>
      <c r="H379" s="178">
        <v>0</v>
      </c>
      <c r="I379" s="178">
        <v>0</v>
      </c>
      <c r="J379" s="178">
        <v>0</v>
      </c>
      <c r="K379" s="178">
        <v>5.2709999999999999</v>
      </c>
      <c r="L379" s="178">
        <v>5.2709999999999999</v>
      </c>
      <c r="M379" s="178">
        <v>5.2709999999999999</v>
      </c>
      <c r="N379" s="178">
        <v>5.2709999999999999</v>
      </c>
      <c r="O379" s="178">
        <v>5.2709999999999999</v>
      </c>
      <c r="P379" s="178">
        <v>5.2709999999999999</v>
      </c>
      <c r="Q379" s="178">
        <v>5.2709999999999999</v>
      </c>
      <c r="R379" s="178">
        <v>5.2709999999999999</v>
      </c>
      <c r="S379" s="178">
        <v>5.2709999999999999</v>
      </c>
      <c r="T379" s="178">
        <v>5.2709999999999999</v>
      </c>
      <c r="U379" s="178">
        <v>5.2709999999999999</v>
      </c>
      <c r="V379" s="178">
        <v>5.2709999999999999</v>
      </c>
      <c r="W379" s="178">
        <v>5.2709999999999999</v>
      </c>
      <c r="X379" s="178">
        <v>5.2709999999999999</v>
      </c>
      <c r="Y379" s="178">
        <v>5.2709999999999999</v>
      </c>
      <c r="Z379" s="178">
        <v>5.2709999999999999</v>
      </c>
      <c r="AA379" s="178">
        <v>5.2709999999999999</v>
      </c>
      <c r="AB379" s="178">
        <v>5.2709999999999999</v>
      </c>
      <c r="AC379" s="178">
        <v>0</v>
      </c>
      <c r="AD379" s="178">
        <v>0</v>
      </c>
      <c r="AE379" s="178">
        <v>0</v>
      </c>
      <c r="AF379" s="178">
        <v>0</v>
      </c>
      <c r="AG379" s="178">
        <v>0</v>
      </c>
      <c r="AH379" s="178">
        <v>0</v>
      </c>
      <c r="AI379" s="178">
        <v>0</v>
      </c>
      <c r="AJ379" s="178">
        <v>0</v>
      </c>
      <c r="AK379" s="178">
        <v>0</v>
      </c>
      <c r="AL379" s="178">
        <v>0</v>
      </c>
      <c r="AM379" s="178">
        <v>0</v>
      </c>
      <c r="AN379" s="178">
        <v>0</v>
      </c>
      <c r="AO379" s="178">
        <v>0</v>
      </c>
      <c r="AP379" s="178">
        <v>0</v>
      </c>
      <c r="AQ379" s="178">
        <v>0</v>
      </c>
      <c r="AR379" s="178">
        <v>0</v>
      </c>
    </row>
    <row r="380" spans="1:44" x14ac:dyDescent="0.2">
      <c r="B380" s="255">
        <v>3</v>
      </c>
      <c r="C380" s="254" t="s">
        <v>224</v>
      </c>
      <c r="D380" s="256" t="s">
        <v>225</v>
      </c>
      <c r="E380" s="254"/>
      <c r="G380" s="178">
        <v>0</v>
      </c>
      <c r="H380" s="178">
        <v>0</v>
      </c>
      <c r="I380" s="178">
        <v>0</v>
      </c>
      <c r="J380" s="178">
        <v>0</v>
      </c>
      <c r="K380" s="178">
        <v>4.6500000000000004</v>
      </c>
      <c r="L380" s="178">
        <v>4.6500000000000004</v>
      </c>
      <c r="M380" s="178">
        <v>4.6500000000000004</v>
      </c>
      <c r="N380" s="178">
        <v>4.6500000000000004</v>
      </c>
      <c r="O380" s="178">
        <v>4.6500000000000004</v>
      </c>
      <c r="P380" s="178">
        <v>4.6500000000000004</v>
      </c>
      <c r="Q380" s="178">
        <v>4.6500000000000004</v>
      </c>
      <c r="R380" s="178">
        <v>4.6500000000000004</v>
      </c>
      <c r="S380" s="178">
        <v>4.6500000000000004</v>
      </c>
      <c r="T380" s="178">
        <v>4.6500000000000004</v>
      </c>
      <c r="U380" s="178">
        <v>4.6500000000000004</v>
      </c>
      <c r="V380" s="178">
        <v>4.6500000000000004</v>
      </c>
      <c r="W380" s="178">
        <v>4.6500000000000004</v>
      </c>
      <c r="X380" s="178">
        <v>4.6500000000000004</v>
      </c>
      <c r="Y380" s="178">
        <v>4.6500000000000004</v>
      </c>
      <c r="Z380" s="178">
        <v>4.6500000000000004</v>
      </c>
      <c r="AA380" s="178">
        <v>4.6500000000000004</v>
      </c>
      <c r="AB380" s="178">
        <v>4.6500000000000004</v>
      </c>
      <c r="AC380" s="178">
        <v>0</v>
      </c>
      <c r="AD380" s="178">
        <v>0</v>
      </c>
      <c r="AE380" s="178">
        <v>0</v>
      </c>
      <c r="AF380" s="178">
        <v>0</v>
      </c>
      <c r="AG380" s="178">
        <v>0</v>
      </c>
      <c r="AH380" s="178">
        <v>0</v>
      </c>
      <c r="AI380" s="178">
        <v>0</v>
      </c>
      <c r="AJ380" s="178">
        <v>0</v>
      </c>
      <c r="AK380" s="178">
        <v>0</v>
      </c>
      <c r="AL380" s="178">
        <v>0</v>
      </c>
      <c r="AM380" s="178">
        <v>0</v>
      </c>
      <c r="AN380" s="178">
        <v>0</v>
      </c>
      <c r="AO380" s="178">
        <v>0</v>
      </c>
      <c r="AP380" s="178">
        <v>0</v>
      </c>
      <c r="AQ380" s="178">
        <v>0</v>
      </c>
      <c r="AR380" s="178">
        <v>0</v>
      </c>
    </row>
    <row r="381" spans="1:44" x14ac:dyDescent="0.2">
      <c r="B381" s="255">
        <v>4</v>
      </c>
      <c r="C381" s="254" t="s">
        <v>226</v>
      </c>
      <c r="D381" s="256" t="s">
        <v>227</v>
      </c>
      <c r="E381" s="254"/>
      <c r="G381" s="178">
        <v>0</v>
      </c>
      <c r="H381" s="178">
        <v>0</v>
      </c>
      <c r="I381" s="178">
        <v>0</v>
      </c>
      <c r="J381" s="178">
        <v>0</v>
      </c>
      <c r="K381" s="178">
        <v>6.0358493150684929</v>
      </c>
      <c r="L381" s="178">
        <v>5.8860991735537187</v>
      </c>
      <c r="M381" s="178">
        <v>5.8860991735537187</v>
      </c>
      <c r="N381" s="178">
        <v>6.3743987467203036</v>
      </c>
      <c r="O381" s="178">
        <v>6.4379151724913886</v>
      </c>
      <c r="P381" s="178">
        <v>6.5032355400049697</v>
      </c>
      <c r="Q381" s="178">
        <v>6.3274114084988451</v>
      </c>
      <c r="R381" s="178">
        <v>6.180226219238337</v>
      </c>
      <c r="S381" s="178">
        <v>2.4952689130813637</v>
      </c>
      <c r="T381" s="178">
        <v>2.4696119063862003</v>
      </c>
      <c r="U381" s="178">
        <v>2.618998151963833</v>
      </c>
      <c r="V381" s="178">
        <v>2.7779433950329433</v>
      </c>
      <c r="W381" s="178">
        <v>2.9470682175695382</v>
      </c>
      <c r="X381" s="178">
        <v>3.0714911961406437</v>
      </c>
      <c r="Y381" s="178">
        <v>3.1980032971999659</v>
      </c>
      <c r="Z381" s="178">
        <v>3.330123025121595</v>
      </c>
      <c r="AA381" s="178">
        <v>3.4710666540495003</v>
      </c>
      <c r="AB381" s="178">
        <v>3.6184861820985645</v>
      </c>
      <c r="AC381" s="178">
        <v>3.7723833399688802</v>
      </c>
      <c r="AD381" s="178">
        <v>3.9295539836022741</v>
      </c>
      <c r="AE381" s="178">
        <v>4.0937335405496844</v>
      </c>
      <c r="AF381" s="178">
        <v>4.2652555465586683</v>
      </c>
      <c r="AG381" s="178">
        <v>4.4469762950804848</v>
      </c>
      <c r="AH381" s="178">
        <v>4.6354320235852402</v>
      </c>
      <c r="AI381" s="178">
        <v>4.703826031716396</v>
      </c>
      <c r="AJ381" s="178">
        <v>4.7741590188502858</v>
      </c>
      <c r="AK381" s="178">
        <v>4.8465512659724075</v>
      </c>
      <c r="AL381" s="178">
        <v>4.9211329505845791</v>
      </c>
      <c r="AM381" s="178">
        <v>4.9980450028236882</v>
      </c>
      <c r="AN381" s="178">
        <v>5.0774400361966725</v>
      </c>
      <c r="AO381" s="178">
        <v>5.1594833594431462</v>
      </c>
      <c r="AP381" s="178">
        <v>5.2443540766055108</v>
      </c>
      <c r="AQ381" s="178">
        <v>5.332246283004439</v>
      </c>
      <c r="AR381" s="178">
        <v>5.4233703654896619</v>
      </c>
    </row>
    <row r="382" spans="1:44" x14ac:dyDescent="0.2">
      <c r="B382" s="255">
        <v>5</v>
      </c>
      <c r="C382" s="254" t="s">
        <v>228</v>
      </c>
      <c r="D382" s="256" t="s">
        <v>221</v>
      </c>
      <c r="E382" s="254"/>
      <c r="G382" s="178">
        <v>0</v>
      </c>
      <c r="H382" s="178">
        <v>0</v>
      </c>
      <c r="I382" s="178">
        <v>0</v>
      </c>
      <c r="J382" s="178">
        <v>0</v>
      </c>
      <c r="K382" s="178">
        <v>1.895</v>
      </c>
      <c r="L382" s="178">
        <v>1.895</v>
      </c>
      <c r="M382" s="178">
        <v>1.895</v>
      </c>
      <c r="N382" s="178">
        <v>1.895</v>
      </c>
      <c r="O382" s="178">
        <v>1.895</v>
      </c>
      <c r="P382" s="178">
        <v>1.895</v>
      </c>
      <c r="Q382" s="178">
        <v>1.895</v>
      </c>
      <c r="R382" s="178">
        <v>1.895</v>
      </c>
      <c r="S382" s="178">
        <v>1.895</v>
      </c>
      <c r="T382" s="178">
        <v>1.895</v>
      </c>
      <c r="U382" s="178">
        <v>1.895</v>
      </c>
      <c r="V382" s="178">
        <v>1.895</v>
      </c>
      <c r="W382" s="178">
        <v>1.895</v>
      </c>
      <c r="X382" s="178">
        <v>1.895</v>
      </c>
      <c r="Y382" s="178">
        <v>1.895</v>
      </c>
      <c r="Z382" s="178">
        <v>1.895</v>
      </c>
      <c r="AA382" s="178">
        <v>1.895</v>
      </c>
      <c r="AB382" s="178">
        <v>1.895</v>
      </c>
      <c r="AC382" s="178">
        <v>0</v>
      </c>
      <c r="AD382" s="178">
        <v>0</v>
      </c>
      <c r="AE382" s="178">
        <v>0</v>
      </c>
      <c r="AF382" s="178">
        <v>0</v>
      </c>
      <c r="AG382" s="178">
        <v>0</v>
      </c>
      <c r="AH382" s="178">
        <v>0</v>
      </c>
      <c r="AI382" s="178">
        <v>0</v>
      </c>
      <c r="AJ382" s="178">
        <v>0</v>
      </c>
      <c r="AK382" s="178">
        <v>0</v>
      </c>
      <c r="AL382" s="178">
        <v>0</v>
      </c>
      <c r="AM382" s="178">
        <v>0</v>
      </c>
      <c r="AN382" s="178">
        <v>0</v>
      </c>
      <c r="AO382" s="178">
        <v>0</v>
      </c>
      <c r="AP382" s="178">
        <v>0</v>
      </c>
      <c r="AQ382" s="178">
        <v>0</v>
      </c>
      <c r="AR382" s="178">
        <v>0</v>
      </c>
    </row>
    <row r="383" spans="1:44" x14ac:dyDescent="0.2">
      <c r="B383" s="255">
        <v>6</v>
      </c>
      <c r="C383" s="254" t="s">
        <v>229</v>
      </c>
      <c r="D383" s="256" t="s">
        <v>230</v>
      </c>
      <c r="E383" s="254"/>
      <c r="G383" s="178">
        <v>0</v>
      </c>
      <c r="H383" s="178">
        <v>0</v>
      </c>
      <c r="I383" s="178">
        <v>0</v>
      </c>
      <c r="J383" s="178">
        <v>0</v>
      </c>
      <c r="K383" s="178">
        <v>4.08</v>
      </c>
      <c r="L383" s="178">
        <v>4.08</v>
      </c>
      <c r="M383" s="178">
        <v>4.08</v>
      </c>
      <c r="N383" s="178">
        <v>4.08</v>
      </c>
      <c r="O383" s="178">
        <v>4.08</v>
      </c>
      <c r="P383" s="178">
        <v>4.08</v>
      </c>
      <c r="Q383" s="178">
        <v>4.08</v>
      </c>
      <c r="R383" s="178">
        <v>4.08</v>
      </c>
      <c r="S383" s="178">
        <v>0</v>
      </c>
      <c r="T383" s="178">
        <v>0</v>
      </c>
      <c r="U383" s="178">
        <v>0</v>
      </c>
      <c r="V383" s="178">
        <v>0</v>
      </c>
      <c r="W383" s="178">
        <v>0</v>
      </c>
      <c r="X383" s="178">
        <v>0</v>
      </c>
      <c r="Y383" s="178">
        <v>0</v>
      </c>
      <c r="Z383" s="178">
        <v>0</v>
      </c>
      <c r="AA383" s="178">
        <v>0</v>
      </c>
      <c r="AB383" s="178">
        <v>0</v>
      </c>
      <c r="AC383" s="178">
        <v>0</v>
      </c>
      <c r="AD383" s="178">
        <v>0</v>
      </c>
      <c r="AE383" s="178">
        <v>0</v>
      </c>
      <c r="AF383" s="178">
        <v>0</v>
      </c>
      <c r="AG383" s="178">
        <v>0</v>
      </c>
      <c r="AH383" s="178">
        <v>0</v>
      </c>
      <c r="AI383" s="178">
        <v>0</v>
      </c>
      <c r="AJ383" s="178">
        <v>0</v>
      </c>
      <c r="AK383" s="178">
        <v>0</v>
      </c>
      <c r="AL383" s="178">
        <v>0</v>
      </c>
      <c r="AM383" s="178">
        <v>0</v>
      </c>
      <c r="AN383" s="178">
        <v>0</v>
      </c>
      <c r="AO383" s="178">
        <v>0</v>
      </c>
      <c r="AP383" s="178">
        <v>0</v>
      </c>
      <c r="AQ383" s="178">
        <v>0</v>
      </c>
      <c r="AR383" s="178">
        <v>0</v>
      </c>
    </row>
    <row r="384" spans="1:44" x14ac:dyDescent="0.2">
      <c r="B384" s="255">
        <v>7</v>
      </c>
      <c r="C384" s="254" t="s">
        <v>231</v>
      </c>
      <c r="D384" s="256" t="s">
        <v>225</v>
      </c>
      <c r="E384" s="254"/>
      <c r="G384" s="178">
        <v>0</v>
      </c>
      <c r="H384" s="178">
        <v>0</v>
      </c>
      <c r="I384" s="178">
        <v>0</v>
      </c>
      <c r="J384" s="178">
        <v>0</v>
      </c>
      <c r="K384" s="178">
        <v>1.4379999999999999</v>
      </c>
      <c r="L384" s="178">
        <v>1.4379999999999999</v>
      </c>
      <c r="M384" s="178">
        <v>1.4379999999999999</v>
      </c>
      <c r="N384" s="178">
        <v>1.4379999999999999</v>
      </c>
      <c r="O384" s="178">
        <v>1.4379999999999999</v>
      </c>
      <c r="P384" s="178">
        <v>1.4379999999999999</v>
      </c>
      <c r="Q384" s="178">
        <v>1.4379999999999999</v>
      </c>
      <c r="R384" s="178">
        <v>1.4379999999999999</v>
      </c>
      <c r="S384" s="178">
        <v>1.4379999999999999</v>
      </c>
      <c r="T384" s="178">
        <v>1.4379999999999999</v>
      </c>
      <c r="U384" s="178">
        <v>1.4379999999999999</v>
      </c>
      <c r="V384" s="178">
        <v>1.4379999999999999</v>
      </c>
      <c r="W384" s="178">
        <v>1.4379999999999999</v>
      </c>
      <c r="X384" s="178">
        <v>1.4379999999999999</v>
      </c>
      <c r="Y384" s="178">
        <v>1.4379999999999999</v>
      </c>
      <c r="Z384" s="178">
        <v>1.4379999999999999</v>
      </c>
      <c r="AA384" s="178">
        <v>1.4379999999999999</v>
      </c>
      <c r="AB384" s="178">
        <v>1.4379999999999999</v>
      </c>
      <c r="AC384" s="178">
        <v>0</v>
      </c>
      <c r="AD384" s="178">
        <v>0</v>
      </c>
      <c r="AE384" s="178">
        <v>0</v>
      </c>
      <c r="AF384" s="178">
        <v>0</v>
      </c>
      <c r="AG384" s="178">
        <v>0</v>
      </c>
      <c r="AH384" s="178">
        <v>0</v>
      </c>
      <c r="AI384" s="178">
        <v>0</v>
      </c>
      <c r="AJ384" s="178">
        <v>0</v>
      </c>
      <c r="AK384" s="178">
        <v>0</v>
      </c>
      <c r="AL384" s="178">
        <v>0</v>
      </c>
      <c r="AM384" s="178">
        <v>0</v>
      </c>
      <c r="AN384" s="178">
        <v>0</v>
      </c>
      <c r="AO384" s="178">
        <v>0</v>
      </c>
      <c r="AP384" s="178">
        <v>0</v>
      </c>
      <c r="AQ384" s="178">
        <v>0</v>
      </c>
      <c r="AR384" s="178">
        <v>0</v>
      </c>
    </row>
    <row r="385" spans="1:44" x14ac:dyDescent="0.2">
      <c r="B385" s="255">
        <v>8</v>
      </c>
      <c r="C385" s="254" t="s">
        <v>232</v>
      </c>
      <c r="D385" s="256" t="s">
        <v>233</v>
      </c>
      <c r="E385" s="254"/>
      <c r="G385" s="178">
        <v>0</v>
      </c>
      <c r="H385" s="178">
        <v>0</v>
      </c>
      <c r="I385" s="178">
        <v>0</v>
      </c>
      <c r="J385" s="178">
        <v>0</v>
      </c>
      <c r="K385" s="178">
        <v>10.391999999999999</v>
      </c>
      <c r="L385" s="178">
        <v>10.391999999999999</v>
      </c>
      <c r="M385" s="178">
        <v>10.391999999999999</v>
      </c>
      <c r="N385" s="178">
        <v>10.391999999999999</v>
      </c>
      <c r="O385" s="178">
        <v>10.391999999999999</v>
      </c>
      <c r="P385" s="178">
        <v>10.391999999999999</v>
      </c>
      <c r="Q385" s="178">
        <v>10.391999999999999</v>
      </c>
      <c r="R385" s="178">
        <v>10.391999999999999</v>
      </c>
      <c r="S385" s="178">
        <v>0</v>
      </c>
      <c r="T385" s="178">
        <v>0</v>
      </c>
      <c r="U385" s="178">
        <v>0</v>
      </c>
      <c r="V385" s="178">
        <v>0</v>
      </c>
      <c r="W385" s="178">
        <v>0</v>
      </c>
      <c r="X385" s="178">
        <v>0</v>
      </c>
      <c r="Y385" s="178">
        <v>0</v>
      </c>
      <c r="Z385" s="178">
        <v>0</v>
      </c>
      <c r="AA385" s="178">
        <v>0</v>
      </c>
      <c r="AB385" s="178">
        <v>0</v>
      </c>
      <c r="AC385" s="178">
        <v>0</v>
      </c>
      <c r="AD385" s="178">
        <v>0</v>
      </c>
      <c r="AE385" s="178">
        <v>0</v>
      </c>
      <c r="AF385" s="178">
        <v>0</v>
      </c>
      <c r="AG385" s="178">
        <v>0</v>
      </c>
      <c r="AH385" s="178">
        <v>0</v>
      </c>
      <c r="AI385" s="178">
        <v>0</v>
      </c>
      <c r="AJ385" s="178">
        <v>0</v>
      </c>
      <c r="AK385" s="178">
        <v>0</v>
      </c>
      <c r="AL385" s="178">
        <v>0</v>
      </c>
      <c r="AM385" s="178">
        <v>0</v>
      </c>
      <c r="AN385" s="178">
        <v>0</v>
      </c>
      <c r="AO385" s="178">
        <v>0</v>
      </c>
      <c r="AP385" s="178">
        <v>0</v>
      </c>
      <c r="AQ385" s="178">
        <v>0</v>
      </c>
      <c r="AR385" s="178">
        <v>0</v>
      </c>
    </row>
    <row r="386" spans="1:44" x14ac:dyDescent="0.2">
      <c r="B386" s="157"/>
      <c r="C386" s="158" t="s">
        <v>84</v>
      </c>
      <c r="D386" s="159"/>
      <c r="E386" s="158"/>
      <c r="F386" s="158"/>
      <c r="G386" s="183">
        <v>0</v>
      </c>
      <c r="H386" s="183">
        <v>0</v>
      </c>
      <c r="I386" s="183">
        <v>0</v>
      </c>
      <c r="J386" s="183">
        <v>0</v>
      </c>
      <c r="K386" s="183">
        <v>35.045849315068494</v>
      </c>
      <c r="L386" s="183">
        <v>34.896099173553715</v>
      </c>
      <c r="M386" s="183">
        <v>34.896099173553715</v>
      </c>
      <c r="N386" s="180">
        <v>35.384398746720301</v>
      </c>
      <c r="O386" s="180">
        <v>35.447915172491385</v>
      </c>
      <c r="P386" s="180">
        <v>35.51323554000497</v>
      </c>
      <c r="Q386" s="180">
        <v>35.337411408498845</v>
      </c>
      <c r="R386" s="180">
        <v>35.190226219238333</v>
      </c>
      <c r="S386" s="180">
        <v>15.749268913081364</v>
      </c>
      <c r="T386" s="180">
        <v>15.7236119063862</v>
      </c>
      <c r="U386" s="180">
        <v>15.872998151963833</v>
      </c>
      <c r="V386" s="180">
        <v>16.031943395032943</v>
      </c>
      <c r="W386" s="180">
        <v>16.201068217569535</v>
      </c>
      <c r="X386" s="180">
        <v>16.325491196140643</v>
      </c>
      <c r="Y386" s="180">
        <v>16.452003297199965</v>
      </c>
      <c r="Z386" s="180">
        <v>16.584123025121592</v>
      </c>
      <c r="AA386" s="180">
        <v>16.725066654049499</v>
      </c>
      <c r="AB386" s="180">
        <v>16.872486182098562</v>
      </c>
      <c r="AC386" s="180">
        <v>3.7723833399688802</v>
      </c>
      <c r="AD386" s="180">
        <v>3.9295539836022741</v>
      </c>
      <c r="AE386" s="180">
        <v>4.0937335405496844</v>
      </c>
      <c r="AF386" s="180">
        <v>4.2652555465586683</v>
      </c>
      <c r="AG386" s="180">
        <v>4.4469762950804848</v>
      </c>
      <c r="AH386" s="180">
        <v>4.6354320235852402</v>
      </c>
      <c r="AI386" s="180">
        <v>4.703826031716396</v>
      </c>
      <c r="AJ386" s="180">
        <v>4.7741590188502858</v>
      </c>
      <c r="AK386" s="180">
        <v>4.8465512659724075</v>
      </c>
      <c r="AL386" s="180">
        <v>4.9211329505845791</v>
      </c>
      <c r="AM386" s="180">
        <v>4.9980450028236882</v>
      </c>
      <c r="AN386" s="180">
        <v>5.0774400361966725</v>
      </c>
      <c r="AO386" s="180">
        <v>5.1594833594431462</v>
      </c>
      <c r="AP386" s="180">
        <v>5.2443540766055108</v>
      </c>
      <c r="AQ386" s="180">
        <v>5.332246283004439</v>
      </c>
      <c r="AR386" s="180">
        <v>5.4233703654896619</v>
      </c>
    </row>
    <row r="387" spans="1:44" x14ac:dyDescent="0.2">
      <c r="B387" s="154"/>
      <c r="D387" s="155"/>
      <c r="G387" s="154"/>
      <c r="H387" s="154"/>
      <c r="I387" s="154"/>
      <c r="J387" s="154"/>
      <c r="K387" s="154"/>
      <c r="L387" s="206"/>
      <c r="W387" s="172"/>
    </row>
    <row r="388" spans="1:44" hidden="1" x14ac:dyDescent="0.2">
      <c r="A388" s="257"/>
      <c r="B388" s="258"/>
      <c r="C388" s="257"/>
      <c r="D388" s="259"/>
      <c r="E388" s="257"/>
      <c r="F388" s="257"/>
      <c r="G388" s="258"/>
      <c r="H388" s="258"/>
      <c r="I388" s="258"/>
      <c r="J388" s="258"/>
      <c r="K388" s="258"/>
      <c r="L388" s="260"/>
      <c r="M388" s="257"/>
      <c r="N388" s="257"/>
      <c r="O388" s="257"/>
      <c r="P388" s="257"/>
      <c r="Q388" s="257"/>
      <c r="R388" s="257"/>
      <c r="S388" s="257"/>
      <c r="T388" s="257"/>
      <c r="U388" s="257"/>
      <c r="V388" s="257"/>
      <c r="W388" s="261"/>
      <c r="X388" s="257"/>
      <c r="Y388" s="257"/>
      <c r="Z388" s="257"/>
      <c r="AA388" s="257"/>
      <c r="AB388" s="257"/>
      <c r="AC388" s="257"/>
      <c r="AD388" s="257"/>
      <c r="AE388" s="257"/>
      <c r="AF388" s="257"/>
      <c r="AG388" s="257"/>
      <c r="AH388" s="257"/>
      <c r="AI388" s="257"/>
      <c r="AJ388" s="257"/>
      <c r="AK388" s="257"/>
      <c r="AL388" s="257"/>
      <c r="AM388" s="257"/>
      <c r="AN388" s="257"/>
      <c r="AO388" s="257"/>
      <c r="AP388" s="257"/>
      <c r="AQ388" s="257"/>
      <c r="AR388" s="257"/>
    </row>
    <row r="389" spans="1:44" hidden="1" x14ac:dyDescent="0.2">
      <c r="B389" s="154"/>
      <c r="D389" s="155"/>
      <c r="G389" s="154"/>
      <c r="H389" s="154"/>
      <c r="I389" s="154"/>
      <c r="J389" s="154"/>
      <c r="K389" s="154"/>
      <c r="L389" s="206"/>
      <c r="W389" s="172"/>
    </row>
    <row r="390" spans="1:44" hidden="1" x14ac:dyDescent="0.2">
      <c r="B390" s="139"/>
      <c r="C390" s="140" t="s">
        <v>275</v>
      </c>
      <c r="D390" s="140"/>
      <c r="E390" s="140"/>
      <c r="F390" s="140"/>
      <c r="G390" s="142"/>
      <c r="H390" s="142"/>
      <c r="I390" s="139"/>
      <c r="J390" s="139"/>
      <c r="K390" s="139"/>
      <c r="L390" s="262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0"/>
      <c r="X390" s="144"/>
      <c r="Y390" s="144"/>
      <c r="Z390" s="144"/>
      <c r="AA390" s="144"/>
      <c r="AB390" s="144"/>
      <c r="AC390" s="144"/>
      <c r="AD390" s="144"/>
      <c r="AE390" s="144"/>
      <c r="AF390" s="144"/>
      <c r="AG390" s="144"/>
      <c r="AH390" s="144"/>
      <c r="AI390" s="144"/>
      <c r="AJ390" s="144"/>
      <c r="AK390" s="144"/>
      <c r="AL390" s="144"/>
      <c r="AM390" s="144"/>
      <c r="AN390" s="144"/>
      <c r="AO390" s="144"/>
      <c r="AP390" s="144"/>
      <c r="AQ390" s="144"/>
      <c r="AR390" s="144"/>
    </row>
    <row r="391" spans="1:44" hidden="1" x14ac:dyDescent="0.2">
      <c r="B391" s="263"/>
      <c r="C391" s="264" t="s">
        <v>276</v>
      </c>
      <c r="D391" s="265"/>
      <c r="E391" s="266"/>
      <c r="F391" s="266"/>
      <c r="G391" s="267"/>
      <c r="H391" s="267"/>
      <c r="I391" s="267"/>
      <c r="J391" s="267"/>
      <c r="K391" s="267"/>
      <c r="L391" s="268"/>
      <c r="M391" s="267"/>
      <c r="N391" s="266"/>
      <c r="O391" s="266"/>
      <c r="P391" s="266"/>
      <c r="Q391" s="266"/>
      <c r="R391" s="266"/>
      <c r="S391" s="266"/>
      <c r="T391" s="266"/>
      <c r="U391" s="266"/>
      <c r="V391" s="266"/>
      <c r="W391" s="266"/>
      <c r="X391" s="266"/>
      <c r="Y391" s="266"/>
      <c r="Z391" s="266"/>
      <c r="AA391" s="266"/>
      <c r="AB391" s="266"/>
      <c r="AC391" s="266"/>
      <c r="AD391" s="266"/>
      <c r="AE391" s="266"/>
      <c r="AF391" s="266"/>
      <c r="AG391" s="266"/>
      <c r="AH391" s="266"/>
      <c r="AI391" s="266"/>
      <c r="AJ391" s="266"/>
      <c r="AK391" s="266"/>
      <c r="AL391" s="266"/>
      <c r="AM391" s="266"/>
      <c r="AN391" s="266"/>
      <c r="AO391" s="266"/>
      <c r="AP391" s="266"/>
      <c r="AQ391" s="266"/>
      <c r="AR391" s="269"/>
    </row>
    <row r="392" spans="1:44" hidden="1" x14ac:dyDescent="0.2">
      <c r="A392" s="270"/>
      <c r="B392" s="271"/>
      <c r="C392" s="272" t="s">
        <v>277</v>
      </c>
      <c r="D392" s="272"/>
      <c r="E392" s="272"/>
      <c r="F392" s="272"/>
      <c r="G392" s="272"/>
      <c r="H392" s="272"/>
      <c r="I392" s="272"/>
      <c r="J392" s="272"/>
      <c r="K392" s="272"/>
      <c r="L392" s="272"/>
      <c r="M392" s="272"/>
      <c r="N392" s="272"/>
      <c r="O392" s="272"/>
      <c r="P392" s="272"/>
      <c r="Q392" s="272"/>
      <c r="R392" s="272"/>
      <c r="S392" s="272"/>
      <c r="T392" s="272"/>
      <c r="U392" s="272"/>
      <c r="V392" s="272"/>
      <c r="W392" s="272"/>
      <c r="X392" s="272"/>
      <c r="Y392" s="272"/>
      <c r="Z392" s="272"/>
      <c r="AA392" s="272"/>
      <c r="AB392" s="272"/>
      <c r="AC392" s="272"/>
      <c r="AD392" s="272"/>
      <c r="AE392" s="272"/>
      <c r="AF392" s="272"/>
      <c r="AG392" s="273"/>
      <c r="AH392" s="272"/>
      <c r="AI392" s="274"/>
      <c r="AJ392" s="272"/>
      <c r="AK392" s="272"/>
      <c r="AL392" s="273"/>
      <c r="AM392" s="273"/>
      <c r="AN392" s="273"/>
      <c r="AO392" s="273"/>
      <c r="AP392" s="273"/>
      <c r="AQ392" s="273"/>
      <c r="AR392" s="275"/>
    </row>
    <row r="393" spans="1:44" ht="45" hidden="1" x14ac:dyDescent="0.2">
      <c r="A393" s="276"/>
      <c r="B393" s="277"/>
      <c r="C393" s="278" t="s">
        <v>278</v>
      </c>
      <c r="D393" s="279" t="s">
        <v>279</v>
      </c>
      <c r="E393" s="278"/>
      <c r="F393" s="278"/>
      <c r="G393" s="280">
        <v>2019</v>
      </c>
      <c r="H393" s="280">
        <v>2020</v>
      </c>
      <c r="I393" s="280">
        <v>2021</v>
      </c>
      <c r="J393" s="280">
        <v>2022</v>
      </c>
      <c r="K393" s="280">
        <v>2023</v>
      </c>
      <c r="L393" s="281">
        <v>45352</v>
      </c>
      <c r="M393" s="280">
        <v>2024</v>
      </c>
      <c r="N393" s="278">
        <v>2025</v>
      </c>
      <c r="O393" s="278">
        <v>2026</v>
      </c>
      <c r="P393" s="278">
        <v>2027</v>
      </c>
      <c r="Q393" s="278">
        <v>2028</v>
      </c>
      <c r="R393" s="278">
        <v>2029</v>
      </c>
      <c r="S393" s="278">
        <v>2030</v>
      </c>
      <c r="T393" s="278">
        <v>2031</v>
      </c>
      <c r="U393" s="278">
        <v>2032</v>
      </c>
      <c r="V393" s="278">
        <v>2033</v>
      </c>
      <c r="W393" s="278">
        <v>2034</v>
      </c>
      <c r="X393" s="278">
        <v>2035</v>
      </c>
      <c r="Y393" s="278">
        <v>2036</v>
      </c>
      <c r="Z393" s="278">
        <v>2037</v>
      </c>
      <c r="AA393" s="278">
        <v>2038</v>
      </c>
      <c r="AB393" s="278">
        <v>2039</v>
      </c>
      <c r="AC393" s="278">
        <v>2040</v>
      </c>
      <c r="AD393" s="278">
        <v>2041</v>
      </c>
      <c r="AE393" s="278">
        <v>2042</v>
      </c>
      <c r="AF393" s="278">
        <v>2043</v>
      </c>
      <c r="AG393" s="278">
        <v>2044</v>
      </c>
      <c r="AH393" s="278">
        <v>2045</v>
      </c>
      <c r="AI393" s="278">
        <v>2046</v>
      </c>
      <c r="AJ393" s="278">
        <v>2047</v>
      </c>
      <c r="AK393" s="278">
        <v>2048</v>
      </c>
      <c r="AL393" s="278">
        <v>2049</v>
      </c>
      <c r="AM393" s="278">
        <v>2050</v>
      </c>
      <c r="AN393" s="278">
        <v>2051</v>
      </c>
      <c r="AO393" s="278">
        <v>2052</v>
      </c>
      <c r="AP393" s="278">
        <v>2053</v>
      </c>
      <c r="AQ393" s="278">
        <v>2054</v>
      </c>
      <c r="AR393" s="282">
        <v>2055</v>
      </c>
    </row>
    <row r="394" spans="1:44" hidden="1" x14ac:dyDescent="0.2">
      <c r="A394" s="283"/>
      <c r="B394" s="284"/>
      <c r="C394" s="285"/>
      <c r="D394" s="286"/>
      <c r="E394" s="287"/>
      <c r="F394" s="285"/>
      <c r="G394" s="285" t="s">
        <v>243</v>
      </c>
      <c r="H394" s="285" t="s">
        <v>243</v>
      </c>
      <c r="I394" s="285" t="s">
        <v>243</v>
      </c>
      <c r="J394" s="285" t="s">
        <v>243</v>
      </c>
      <c r="K394" s="285" t="s">
        <v>243</v>
      </c>
      <c r="L394" s="285" t="s">
        <v>244</v>
      </c>
      <c r="M394" s="285" t="s">
        <v>245</v>
      </c>
      <c r="N394" s="285"/>
      <c r="O394" s="285"/>
      <c r="P394" s="285"/>
      <c r="Q394" s="285"/>
      <c r="R394" s="285"/>
      <c r="S394" s="285"/>
      <c r="T394" s="285"/>
      <c r="U394" s="288"/>
      <c r="V394" s="289"/>
      <c r="W394" s="285"/>
      <c r="X394" s="285"/>
      <c r="Y394" s="285"/>
      <c r="Z394" s="285"/>
      <c r="AA394" s="285"/>
      <c r="AB394" s="285"/>
      <c r="AC394" s="285"/>
      <c r="AD394" s="285"/>
      <c r="AE394" s="285"/>
      <c r="AF394" s="285"/>
      <c r="AG394" s="285"/>
      <c r="AH394" s="285"/>
      <c r="AI394" s="285"/>
      <c r="AJ394" s="285"/>
      <c r="AK394" s="285"/>
      <c r="AL394" s="285"/>
      <c r="AM394" s="285"/>
      <c r="AN394" s="285"/>
      <c r="AO394" s="285"/>
      <c r="AP394" s="285"/>
      <c r="AQ394" s="285"/>
      <c r="AR394" s="290"/>
    </row>
    <row r="395" spans="1:44" hidden="1" x14ac:dyDescent="0.2">
      <c r="A395" s="283"/>
      <c r="B395" s="291">
        <v>1</v>
      </c>
      <c r="C395" s="283" t="s">
        <v>220</v>
      </c>
      <c r="D395" s="292" t="s">
        <v>221</v>
      </c>
      <c r="E395" s="283"/>
      <c r="F395" s="283"/>
      <c r="G395" s="293"/>
      <c r="H395" s="293"/>
      <c r="I395" s="293"/>
      <c r="J395" s="293"/>
      <c r="K395" s="293"/>
      <c r="L395" s="293"/>
      <c r="M395" s="293"/>
      <c r="N395" s="293">
        <v>319.72747093023258</v>
      </c>
      <c r="O395" s="293">
        <v>324.83282421722822</v>
      </c>
      <c r="P395" s="293">
        <v>330.01969890777798</v>
      </c>
      <c r="Q395" s="293">
        <v>335.2893967216383</v>
      </c>
      <c r="R395" s="294">
        <v>340.64324016420301</v>
      </c>
      <c r="S395" s="294">
        <v>276.86605828672361</v>
      </c>
      <c r="T395" s="294">
        <v>210.7112336977593</v>
      </c>
      <c r="U395" s="294">
        <v>142.54537785825255</v>
      </c>
      <c r="V395" s="294">
        <v>72.323569532240143</v>
      </c>
      <c r="W395" s="294">
        <v>0</v>
      </c>
      <c r="X395" s="294">
        <v>0</v>
      </c>
      <c r="Y395" s="294">
        <v>0</v>
      </c>
      <c r="Z395" s="294">
        <v>0</v>
      </c>
      <c r="AA395" s="294">
        <v>0</v>
      </c>
      <c r="AB395" s="294">
        <v>0</v>
      </c>
      <c r="AC395" s="294">
        <v>0</v>
      </c>
      <c r="AD395" s="294">
        <v>0</v>
      </c>
      <c r="AE395" s="294">
        <v>0</v>
      </c>
      <c r="AF395" s="294">
        <v>0</v>
      </c>
      <c r="AG395" s="294">
        <v>0</v>
      </c>
      <c r="AH395" s="294">
        <v>0</v>
      </c>
      <c r="AI395" s="294">
        <v>0</v>
      </c>
      <c r="AJ395" s="294">
        <v>0</v>
      </c>
      <c r="AK395" s="294">
        <v>0</v>
      </c>
      <c r="AL395" s="294">
        <v>0</v>
      </c>
      <c r="AM395" s="294">
        <v>0</v>
      </c>
      <c r="AN395" s="294">
        <v>0</v>
      </c>
      <c r="AO395" s="294">
        <v>0</v>
      </c>
      <c r="AP395" s="294">
        <v>0</v>
      </c>
      <c r="AQ395" s="294">
        <v>0</v>
      </c>
      <c r="AR395" s="295">
        <v>0</v>
      </c>
    </row>
    <row r="396" spans="1:44" hidden="1" x14ac:dyDescent="0.2">
      <c r="A396" s="283"/>
      <c r="B396" s="291">
        <v>2</v>
      </c>
      <c r="C396" s="283" t="s">
        <v>222</v>
      </c>
      <c r="D396" s="292" t="s">
        <v>223</v>
      </c>
      <c r="E396" s="283"/>
      <c r="F396" s="283"/>
      <c r="G396" s="293"/>
      <c r="H396" s="293"/>
      <c r="I396" s="293"/>
      <c r="J396" s="293"/>
      <c r="K396" s="293"/>
      <c r="L396" s="293"/>
      <c r="M396" s="293"/>
      <c r="N396" s="293">
        <v>781.89625000000001</v>
      </c>
      <c r="O396" s="293">
        <v>795.94159517928824</v>
      </c>
      <c r="P396" s="293">
        <v>810.24638221955308</v>
      </c>
      <c r="Q396" s="293">
        <v>824.81555186318667</v>
      </c>
      <c r="R396" s="294">
        <v>839.65414200522957</v>
      </c>
      <c r="S396" s="294">
        <v>854.76728966636119</v>
      </c>
      <c r="T396" s="294">
        <v>869.6609832391307</v>
      </c>
      <c r="U396" s="294">
        <v>884.82448072302259</v>
      </c>
      <c r="V396" s="294">
        <v>900.26287539754139</v>
      </c>
      <c r="W396" s="294">
        <v>915.98136073920557</v>
      </c>
      <c r="X396" s="294">
        <v>931.98523247107278</v>
      </c>
      <c r="Y396" s="294">
        <v>947.6577490850193</v>
      </c>
      <c r="Z396" s="294">
        <v>963.60909384135402</v>
      </c>
      <c r="AA396" s="294">
        <v>979.84451391976904</v>
      </c>
      <c r="AB396" s="294">
        <v>996.36936048932318</v>
      </c>
      <c r="AC396" s="294">
        <v>1013.1890908634201</v>
      </c>
      <c r="AD396" s="294">
        <v>1029.7924235790256</v>
      </c>
      <c r="AE396" s="294">
        <v>1046.6886747014598</v>
      </c>
      <c r="AF396" s="294">
        <v>1063.8833800978123</v>
      </c>
      <c r="AG396" s="294">
        <v>1081.3821865529862</v>
      </c>
      <c r="AH396" s="294">
        <v>1099.1908540976942</v>
      </c>
      <c r="AI396" s="294">
        <v>1117.315258387086</v>
      </c>
      <c r="AJ396" s="294">
        <v>1135.7613931311448</v>
      </c>
      <c r="AK396" s="294">
        <v>1154.5353725780046</v>
      </c>
      <c r="AL396" s="294">
        <v>1173.6434340513752</v>
      </c>
      <c r="AM396" s="294">
        <v>1193.091940543286</v>
      </c>
      <c r="AN396" s="294">
        <v>1212.8873833633859</v>
      </c>
      <c r="AO396" s="294">
        <v>1233.036384846067</v>
      </c>
      <c r="AP396" s="294">
        <v>1253.5457011167075</v>
      </c>
      <c r="AQ396" s="294">
        <v>1274.4222249183588</v>
      </c>
      <c r="AR396" s="295">
        <v>1295.6729885002369</v>
      </c>
    </row>
    <row r="397" spans="1:44" hidden="1" x14ac:dyDescent="0.2">
      <c r="A397" s="283"/>
      <c r="B397" s="291">
        <v>3</v>
      </c>
      <c r="C397" s="283" t="s">
        <v>224</v>
      </c>
      <c r="D397" s="292" t="s">
        <v>225</v>
      </c>
      <c r="E397" s="283"/>
      <c r="F397" s="283"/>
      <c r="G397" s="293"/>
      <c r="H397" s="293"/>
      <c r="I397" s="293"/>
      <c r="J397" s="293"/>
      <c r="K397" s="293"/>
      <c r="L397" s="293"/>
      <c r="M397" s="293"/>
      <c r="N397" s="293">
        <v>0</v>
      </c>
      <c r="O397" s="293">
        <v>0</v>
      </c>
      <c r="P397" s="293">
        <v>0</v>
      </c>
      <c r="Q397" s="293">
        <v>0</v>
      </c>
      <c r="R397" s="294">
        <v>0</v>
      </c>
      <c r="S397" s="294">
        <v>0</v>
      </c>
      <c r="T397" s="294">
        <v>0</v>
      </c>
      <c r="U397" s="294">
        <v>0</v>
      </c>
      <c r="V397" s="294">
        <v>0</v>
      </c>
      <c r="W397" s="294">
        <v>0</v>
      </c>
      <c r="X397" s="294">
        <v>0</v>
      </c>
      <c r="Y397" s="294">
        <v>0</v>
      </c>
      <c r="Z397" s="294">
        <v>0</v>
      </c>
      <c r="AA397" s="294">
        <v>0</v>
      </c>
      <c r="AB397" s="294">
        <v>0</v>
      </c>
      <c r="AC397" s="294">
        <v>0</v>
      </c>
      <c r="AD397" s="294">
        <v>0</v>
      </c>
      <c r="AE397" s="294">
        <v>0</v>
      </c>
      <c r="AF397" s="294">
        <v>0</v>
      </c>
      <c r="AG397" s="294">
        <v>0</v>
      </c>
      <c r="AH397" s="294">
        <v>0</v>
      </c>
      <c r="AI397" s="294">
        <v>0</v>
      </c>
      <c r="AJ397" s="294">
        <v>0</v>
      </c>
      <c r="AK397" s="294">
        <v>0</v>
      </c>
      <c r="AL397" s="294">
        <v>0</v>
      </c>
      <c r="AM397" s="294">
        <v>0</v>
      </c>
      <c r="AN397" s="294">
        <v>0</v>
      </c>
      <c r="AO397" s="294">
        <v>0</v>
      </c>
      <c r="AP397" s="294">
        <v>0</v>
      </c>
      <c r="AQ397" s="294">
        <v>0</v>
      </c>
      <c r="AR397" s="295">
        <v>0</v>
      </c>
    </row>
    <row r="398" spans="1:44" hidden="1" x14ac:dyDescent="0.2">
      <c r="A398" s="283"/>
      <c r="B398" s="291">
        <v>4</v>
      </c>
      <c r="C398" s="283" t="s">
        <v>226</v>
      </c>
      <c r="D398" s="292" t="s">
        <v>227</v>
      </c>
      <c r="E398" s="283"/>
      <c r="F398" s="283"/>
      <c r="G398" s="293"/>
      <c r="H398" s="293"/>
      <c r="I398" s="293"/>
      <c r="J398" s="293"/>
      <c r="K398" s="293"/>
      <c r="L398" s="293"/>
      <c r="M398" s="293"/>
      <c r="N398" s="293">
        <v>3795.2356991002043</v>
      </c>
      <c r="O398" s="293">
        <v>3855.5097198150138</v>
      </c>
      <c r="P398" s="293">
        <v>3916.7445474778669</v>
      </c>
      <c r="Q398" s="293">
        <v>3978.9555158976618</v>
      </c>
      <c r="R398" s="294">
        <v>3278.8546866004526</v>
      </c>
      <c r="S398" s="294">
        <v>2552.261787779109</v>
      </c>
      <c r="T398" s="294">
        <v>1803.12326690534</v>
      </c>
      <c r="U398" s="294">
        <v>1031.0965113712766</v>
      </c>
      <c r="V398" s="294">
        <v>640.58519038959253</v>
      </c>
      <c r="W398" s="294">
        <v>238.21679580371216</v>
      </c>
      <c r="X398" s="294">
        <v>240.797086245429</v>
      </c>
      <c r="Y398" s="294">
        <v>243.20579039735867</v>
      </c>
      <c r="Z398" s="294">
        <v>245.64259412858215</v>
      </c>
      <c r="AA398" s="294">
        <v>248.10785192637883</v>
      </c>
      <c r="AB398" s="294">
        <v>250.60192290243816</v>
      </c>
      <c r="AC398" s="294">
        <v>253.12517085399176</v>
      </c>
      <c r="AD398" s="294">
        <v>255.50768375377294</v>
      </c>
      <c r="AE398" s="294">
        <v>257.9157642452941</v>
      </c>
      <c r="AF398" s="294">
        <v>260.34970711246427</v>
      </c>
      <c r="AG398" s="294">
        <v>262.80981065418769</v>
      </c>
      <c r="AH398" s="294">
        <v>265.29637672689387</v>
      </c>
      <c r="AI398" s="294">
        <v>267.80971078758353</v>
      </c>
      <c r="AJ398" s="294">
        <v>270.35012193740022</v>
      </c>
      <c r="AK398" s="294">
        <v>272.91792296573129</v>
      </c>
      <c r="AL398" s="294">
        <v>275.51343039484618</v>
      </c>
      <c r="AM398" s="294">
        <v>278.13696452507838</v>
      </c>
      <c r="AN398" s="294">
        <v>280.78884948055696</v>
      </c>
      <c r="AO398" s="294">
        <v>283.46941325549568</v>
      </c>
      <c r="AP398" s="294">
        <v>286.17898776104488</v>
      </c>
      <c r="AQ398" s="294">
        <v>288.91790887271441</v>
      </c>
      <c r="AR398" s="295">
        <v>291.68651647837407</v>
      </c>
    </row>
    <row r="399" spans="1:44" hidden="1" x14ac:dyDescent="0.2">
      <c r="A399" s="283"/>
      <c r="B399" s="291">
        <v>5</v>
      </c>
      <c r="C399" s="283" t="s">
        <v>228</v>
      </c>
      <c r="D399" s="292" t="s">
        <v>221</v>
      </c>
      <c r="E399" s="283"/>
      <c r="F399" s="283"/>
      <c r="G399" s="293"/>
      <c r="H399" s="293"/>
      <c r="I399" s="293"/>
      <c r="J399" s="293"/>
      <c r="K399" s="293"/>
      <c r="L399" s="293"/>
      <c r="M399" s="293"/>
      <c r="N399" s="293">
        <v>2210.7291666666665</v>
      </c>
      <c r="O399" s="293">
        <v>2221.7828124999996</v>
      </c>
      <c r="P399" s="293">
        <v>2232.8917265624996</v>
      </c>
      <c r="Q399" s="293">
        <v>2244.0561851953116</v>
      </c>
      <c r="R399" s="294">
        <v>2255.2764661212882</v>
      </c>
      <c r="S399" s="294">
        <v>1813.2422787615151</v>
      </c>
      <c r="T399" s="294">
        <v>1093.3850940931939</v>
      </c>
      <c r="U399" s="294">
        <v>439.5408078254639</v>
      </c>
      <c r="V399" s="294">
        <v>88.347702372918221</v>
      </c>
      <c r="W399" s="294">
        <v>0</v>
      </c>
      <c r="X399" s="294">
        <v>0</v>
      </c>
      <c r="Y399" s="294">
        <v>0</v>
      </c>
      <c r="Z399" s="294">
        <v>0</v>
      </c>
      <c r="AA399" s="294">
        <v>0</v>
      </c>
      <c r="AB399" s="294">
        <v>0</v>
      </c>
      <c r="AC399" s="294">
        <v>0</v>
      </c>
      <c r="AD399" s="294">
        <v>0</v>
      </c>
      <c r="AE399" s="294">
        <v>0</v>
      </c>
      <c r="AF399" s="294">
        <v>0</v>
      </c>
      <c r="AG399" s="294">
        <v>0</v>
      </c>
      <c r="AH399" s="294">
        <v>0</v>
      </c>
      <c r="AI399" s="294">
        <v>0</v>
      </c>
      <c r="AJ399" s="294">
        <v>0</v>
      </c>
      <c r="AK399" s="294">
        <v>0</v>
      </c>
      <c r="AL399" s="294">
        <v>0</v>
      </c>
      <c r="AM399" s="294">
        <v>0</v>
      </c>
      <c r="AN399" s="294">
        <v>0</v>
      </c>
      <c r="AO399" s="294">
        <v>0</v>
      </c>
      <c r="AP399" s="294">
        <v>0</v>
      </c>
      <c r="AQ399" s="294">
        <v>0</v>
      </c>
      <c r="AR399" s="295">
        <v>0</v>
      </c>
    </row>
    <row r="400" spans="1:44" hidden="1" x14ac:dyDescent="0.2">
      <c r="A400" s="283"/>
      <c r="B400" s="291">
        <v>6</v>
      </c>
      <c r="C400" s="283" t="s">
        <v>229</v>
      </c>
      <c r="D400" s="292" t="s">
        <v>230</v>
      </c>
      <c r="E400" s="283"/>
      <c r="F400" s="283"/>
      <c r="G400" s="293"/>
      <c r="H400" s="293"/>
      <c r="I400" s="293"/>
      <c r="J400" s="293"/>
      <c r="K400" s="293"/>
      <c r="L400" s="293"/>
      <c r="M400" s="293"/>
      <c r="N400" s="293">
        <v>862</v>
      </c>
      <c r="O400" s="293">
        <v>873</v>
      </c>
      <c r="P400" s="293">
        <v>882</v>
      </c>
      <c r="Q400" s="293">
        <v>892</v>
      </c>
      <c r="R400" s="294">
        <v>902</v>
      </c>
      <c r="S400" s="294">
        <v>913</v>
      </c>
      <c r="T400" s="294">
        <v>924</v>
      </c>
      <c r="U400" s="294">
        <v>933</v>
      </c>
      <c r="V400" s="294">
        <v>943</v>
      </c>
      <c r="W400" s="294">
        <v>953</v>
      </c>
      <c r="X400" s="294">
        <v>963</v>
      </c>
      <c r="Y400" s="294">
        <v>974</v>
      </c>
      <c r="Z400" s="294">
        <v>984</v>
      </c>
      <c r="AA400" s="294">
        <v>993</v>
      </c>
      <c r="AB400" s="294">
        <v>1003</v>
      </c>
      <c r="AC400" s="294">
        <v>1013</v>
      </c>
      <c r="AD400" s="294">
        <v>1023</v>
      </c>
      <c r="AE400" s="294">
        <v>1030</v>
      </c>
      <c r="AF400" s="294">
        <v>1042</v>
      </c>
      <c r="AG400" s="294">
        <v>1052</v>
      </c>
      <c r="AH400" s="294">
        <v>1061</v>
      </c>
      <c r="AI400" s="294">
        <v>1072</v>
      </c>
      <c r="AJ400" s="294">
        <v>1082</v>
      </c>
      <c r="AK400" s="294">
        <v>1091</v>
      </c>
      <c r="AL400" s="294">
        <v>1102</v>
      </c>
      <c r="AM400" s="294">
        <v>1112</v>
      </c>
      <c r="AN400" s="294">
        <v>1122</v>
      </c>
      <c r="AO400" s="294">
        <v>1135</v>
      </c>
      <c r="AP400" s="294">
        <v>1145</v>
      </c>
      <c r="AQ400" s="294">
        <v>1155.8240132632548</v>
      </c>
      <c r="AR400" s="295">
        <v>1167.753133329571</v>
      </c>
    </row>
    <row r="401" spans="1:44" hidden="1" x14ac:dyDescent="0.2">
      <c r="A401" s="283"/>
      <c r="B401" s="291">
        <v>7</v>
      </c>
      <c r="C401" s="283" t="s">
        <v>231</v>
      </c>
      <c r="D401" s="292" t="s">
        <v>225</v>
      </c>
      <c r="E401" s="283"/>
      <c r="F401" s="283"/>
      <c r="G401" s="293"/>
      <c r="H401" s="293"/>
      <c r="I401" s="293"/>
      <c r="J401" s="293"/>
      <c r="K401" s="293"/>
      <c r="L401" s="293"/>
      <c r="M401" s="293"/>
      <c r="N401" s="293">
        <v>0</v>
      </c>
      <c r="O401" s="293">
        <v>0</v>
      </c>
      <c r="P401" s="293">
        <v>0</v>
      </c>
      <c r="Q401" s="293">
        <v>0</v>
      </c>
      <c r="R401" s="294">
        <v>0</v>
      </c>
      <c r="S401" s="294">
        <v>0</v>
      </c>
      <c r="T401" s="294">
        <v>0</v>
      </c>
      <c r="U401" s="294">
        <v>0</v>
      </c>
      <c r="V401" s="294">
        <v>0</v>
      </c>
      <c r="W401" s="294">
        <v>0</v>
      </c>
      <c r="X401" s="294">
        <v>0</v>
      </c>
      <c r="Y401" s="294">
        <v>0</v>
      </c>
      <c r="Z401" s="294">
        <v>0</v>
      </c>
      <c r="AA401" s="294">
        <v>0</v>
      </c>
      <c r="AB401" s="294">
        <v>0</v>
      </c>
      <c r="AC401" s="294">
        <v>0</v>
      </c>
      <c r="AD401" s="294">
        <v>0</v>
      </c>
      <c r="AE401" s="294">
        <v>0</v>
      </c>
      <c r="AF401" s="294">
        <v>0</v>
      </c>
      <c r="AG401" s="294">
        <v>0</v>
      </c>
      <c r="AH401" s="294">
        <v>0</v>
      </c>
      <c r="AI401" s="294">
        <v>0</v>
      </c>
      <c r="AJ401" s="294">
        <v>0</v>
      </c>
      <c r="AK401" s="294">
        <v>0</v>
      </c>
      <c r="AL401" s="294">
        <v>0</v>
      </c>
      <c r="AM401" s="294">
        <v>0</v>
      </c>
      <c r="AN401" s="294">
        <v>0</v>
      </c>
      <c r="AO401" s="294">
        <v>0</v>
      </c>
      <c r="AP401" s="294">
        <v>0</v>
      </c>
      <c r="AQ401" s="294">
        <v>0</v>
      </c>
      <c r="AR401" s="295">
        <v>0</v>
      </c>
    </row>
    <row r="402" spans="1:44" hidden="1" x14ac:dyDescent="0.2">
      <c r="A402" s="283"/>
      <c r="B402" s="291">
        <v>8</v>
      </c>
      <c r="C402" s="283" t="s">
        <v>232</v>
      </c>
      <c r="D402" s="292" t="s">
        <v>233</v>
      </c>
      <c r="E402" s="283"/>
      <c r="F402" s="283"/>
      <c r="G402" s="293"/>
      <c r="H402" s="293"/>
      <c r="I402" s="293"/>
      <c r="J402" s="293"/>
      <c r="K402" s="293"/>
      <c r="L402" s="293"/>
      <c r="M402" s="293"/>
      <c r="N402" s="293">
        <v>15753.897270392959</v>
      </c>
      <c r="O402" s="293">
        <v>16005.452793533927</v>
      </c>
      <c r="P402" s="293">
        <v>16261.025112019979</v>
      </c>
      <c r="Q402" s="293">
        <v>16520.678365348609</v>
      </c>
      <c r="R402" s="294">
        <v>16779.54258868302</v>
      </c>
      <c r="S402" s="294">
        <v>17047.475439933427</v>
      </c>
      <c r="T402" s="294">
        <v>17298.832047086282</v>
      </c>
      <c r="U402" s="294">
        <v>17553.894783289274</v>
      </c>
      <c r="V402" s="294">
        <v>17812.718293585123</v>
      </c>
      <c r="W402" s="294">
        <v>18075.358028730709</v>
      </c>
      <c r="X402" s="294">
        <v>18341.870257076982</v>
      </c>
      <c r="Y402" s="294">
        <v>18586.324117893146</v>
      </c>
      <c r="Z402" s="294">
        <v>18834.035971990819</v>
      </c>
      <c r="AA402" s="294">
        <v>19085.049240734628</v>
      </c>
      <c r="AB402" s="294">
        <v>19339.407924193536</v>
      </c>
      <c r="AC402" s="294">
        <v>20650.679021242286</v>
      </c>
      <c r="AD402" s="294">
        <v>20903.15359843228</v>
      </c>
      <c r="AE402" s="294">
        <v>21158.714922167586</v>
      </c>
      <c r="AF402" s="294">
        <v>21417.400730918125</v>
      </c>
      <c r="AG402" s="294">
        <v>21679.249224543204</v>
      </c>
      <c r="AH402" s="294">
        <v>21944.299069932422</v>
      </c>
      <c r="AI402" s="294">
        <v>22212.589406715681</v>
      </c>
      <c r="AJ402" s="294">
        <v>22484.159853042733</v>
      </c>
      <c r="AK402" s="294">
        <v>22759.050511433659</v>
      </c>
      <c r="AL402" s="294">
        <v>23037.301974700757</v>
      </c>
      <c r="AM402" s="294">
        <v>23318.955331942805</v>
      </c>
      <c r="AN402" s="294">
        <v>23604.052174612643</v>
      </c>
      <c r="AO402" s="294">
        <v>23892.634602658996</v>
      </c>
      <c r="AP402" s="294">
        <v>24184.745230743247</v>
      </c>
      <c r="AQ402" s="294">
        <v>24480.427194532364</v>
      </c>
      <c r="AR402" s="295">
        <v>24779.724157068667</v>
      </c>
    </row>
    <row r="403" spans="1:44" hidden="1" x14ac:dyDescent="0.2">
      <c r="A403" s="204"/>
      <c r="B403" s="296"/>
      <c r="C403" s="203" t="s">
        <v>84</v>
      </c>
      <c r="D403" s="229"/>
      <c r="E403" s="203"/>
      <c r="F403" s="203"/>
      <c r="G403" s="297">
        <v>0</v>
      </c>
      <c r="H403" s="297">
        <v>0</v>
      </c>
      <c r="I403" s="297">
        <v>0</v>
      </c>
      <c r="J403" s="297">
        <v>0</v>
      </c>
      <c r="K403" s="297">
        <v>0</v>
      </c>
      <c r="L403" s="297">
        <v>0</v>
      </c>
      <c r="M403" s="297">
        <v>0</v>
      </c>
      <c r="N403" s="298">
        <v>23723.485857090061</v>
      </c>
      <c r="O403" s="298">
        <v>24076.519745245456</v>
      </c>
      <c r="P403" s="298">
        <v>24432.927467187677</v>
      </c>
      <c r="Q403" s="298">
        <v>24795.795015026408</v>
      </c>
      <c r="R403" s="298">
        <v>24395.971123574192</v>
      </c>
      <c r="S403" s="298">
        <v>23457.612854427134</v>
      </c>
      <c r="T403" s="298">
        <v>22199.712625021704</v>
      </c>
      <c r="U403" s="298">
        <v>20984.901961067291</v>
      </c>
      <c r="V403" s="298">
        <v>20457.237631277414</v>
      </c>
      <c r="W403" s="298">
        <v>20182.556185273628</v>
      </c>
      <c r="X403" s="298">
        <v>20477.652575793483</v>
      </c>
      <c r="Y403" s="298">
        <v>20751.187657375522</v>
      </c>
      <c r="Z403" s="298">
        <v>21027.287659960755</v>
      </c>
      <c r="AA403" s="298">
        <v>21306.001606580776</v>
      </c>
      <c r="AB403" s="298">
        <v>21589.379207585298</v>
      </c>
      <c r="AC403" s="298">
        <v>22929.993282959698</v>
      </c>
      <c r="AD403" s="298">
        <v>23211.453705765078</v>
      </c>
      <c r="AE403" s="298">
        <v>23493.31936111434</v>
      </c>
      <c r="AF403" s="298">
        <v>23783.633818128401</v>
      </c>
      <c r="AG403" s="298">
        <v>24075.441221750378</v>
      </c>
      <c r="AH403" s="298">
        <v>24369.786300757009</v>
      </c>
      <c r="AI403" s="298">
        <v>24669.714375890351</v>
      </c>
      <c r="AJ403" s="298">
        <v>24972.271368111276</v>
      </c>
      <c r="AK403" s="298">
        <v>25277.503806977395</v>
      </c>
      <c r="AL403" s="298">
        <v>25588.458839146977</v>
      </c>
      <c r="AM403" s="298">
        <v>25902.18423701117</v>
      </c>
      <c r="AN403" s="298">
        <v>26219.728407456587</v>
      </c>
      <c r="AO403" s="298">
        <v>26544.14040076056</v>
      </c>
      <c r="AP403" s="298">
        <v>26869.469919620999</v>
      </c>
      <c r="AQ403" s="298">
        <v>27199.591341586693</v>
      </c>
      <c r="AR403" s="299">
        <v>27534.83679537685</v>
      </c>
    </row>
    <row r="404" spans="1:44" hidden="1" x14ac:dyDescent="0.2">
      <c r="A404" s="300"/>
      <c r="B404" s="301"/>
      <c r="C404" s="300"/>
      <c r="D404" s="300"/>
      <c r="E404" s="300"/>
      <c r="F404" s="300"/>
      <c r="G404" s="302"/>
      <c r="H404" s="302"/>
      <c r="I404" s="302"/>
      <c r="J404" s="302"/>
      <c r="K404" s="302"/>
      <c r="L404" s="302"/>
      <c r="M404" s="302"/>
      <c r="N404" s="302"/>
      <c r="O404" s="302"/>
      <c r="P404" s="302"/>
      <c r="Q404" s="300"/>
      <c r="R404" s="300"/>
      <c r="S404" s="300"/>
      <c r="T404" s="300"/>
      <c r="U404" s="300"/>
      <c r="V404" s="300"/>
      <c r="W404" s="300"/>
      <c r="X404" s="300"/>
      <c r="Y404" s="300"/>
      <c r="Z404" s="300"/>
      <c r="AA404" s="300"/>
      <c r="AB404" s="300"/>
      <c r="AC404" s="300"/>
      <c r="AD404" s="300"/>
      <c r="AE404" s="300"/>
      <c r="AF404" s="300"/>
      <c r="AG404" s="300"/>
      <c r="AH404" s="300"/>
      <c r="AI404" s="300"/>
      <c r="AJ404" s="300"/>
      <c r="AK404" s="300"/>
      <c r="AL404" s="300"/>
      <c r="AM404" s="300"/>
      <c r="AN404" s="300"/>
      <c r="AO404" s="300"/>
      <c r="AP404" s="300"/>
      <c r="AQ404" s="300"/>
      <c r="AR404" s="303"/>
    </row>
    <row r="405" spans="1:44" hidden="1" x14ac:dyDescent="0.2">
      <c r="A405" s="270"/>
      <c r="B405" s="271"/>
      <c r="C405" s="272" t="s">
        <v>280</v>
      </c>
      <c r="D405" s="272"/>
      <c r="E405" s="272"/>
      <c r="F405" s="272"/>
      <c r="G405" s="272"/>
      <c r="H405" s="272"/>
      <c r="I405" s="272"/>
      <c r="J405" s="272"/>
      <c r="K405" s="272"/>
      <c r="L405" s="272"/>
      <c r="M405" s="272"/>
      <c r="N405" s="272"/>
      <c r="O405" s="272"/>
      <c r="P405" s="272"/>
      <c r="Q405" s="272"/>
      <c r="R405" s="272"/>
      <c r="S405" s="272"/>
      <c r="T405" s="272"/>
      <c r="U405" s="272"/>
      <c r="V405" s="272"/>
      <c r="W405" s="272"/>
      <c r="X405" s="272"/>
      <c r="Y405" s="272"/>
      <c r="Z405" s="272"/>
      <c r="AA405" s="272"/>
      <c r="AB405" s="272"/>
      <c r="AC405" s="272"/>
      <c r="AD405" s="272"/>
      <c r="AE405" s="272"/>
      <c r="AF405" s="272"/>
      <c r="AG405" s="273"/>
      <c r="AH405" s="272"/>
      <c r="AI405" s="274"/>
      <c r="AJ405" s="272"/>
      <c r="AK405" s="272"/>
      <c r="AL405" s="273"/>
      <c r="AM405" s="273"/>
      <c r="AN405" s="273"/>
      <c r="AO405" s="273"/>
      <c r="AP405" s="273"/>
      <c r="AQ405" s="273"/>
      <c r="AR405" s="275"/>
    </row>
    <row r="406" spans="1:44" ht="45" hidden="1" x14ac:dyDescent="0.2">
      <c r="A406" s="276"/>
      <c r="B406" s="277"/>
      <c r="C406" s="278" t="s">
        <v>278</v>
      </c>
      <c r="D406" s="279" t="s">
        <v>279</v>
      </c>
      <c r="E406" s="278"/>
      <c r="F406" s="278"/>
      <c r="G406" s="280">
        <v>2019</v>
      </c>
      <c r="H406" s="280">
        <v>2020</v>
      </c>
      <c r="I406" s="280">
        <v>2021</v>
      </c>
      <c r="J406" s="280">
        <v>2022</v>
      </c>
      <c r="K406" s="280">
        <v>2023</v>
      </c>
      <c r="L406" s="281">
        <v>45352</v>
      </c>
      <c r="M406" s="280">
        <v>2024</v>
      </c>
      <c r="N406" s="278">
        <v>2025</v>
      </c>
      <c r="O406" s="278">
        <v>2026</v>
      </c>
      <c r="P406" s="278">
        <v>2027</v>
      </c>
      <c r="Q406" s="278">
        <v>2028</v>
      </c>
      <c r="R406" s="278">
        <v>2029</v>
      </c>
      <c r="S406" s="278">
        <v>2030</v>
      </c>
      <c r="T406" s="278">
        <v>2031</v>
      </c>
      <c r="U406" s="278">
        <v>2032</v>
      </c>
      <c r="V406" s="278">
        <v>2033</v>
      </c>
      <c r="W406" s="278">
        <v>2034</v>
      </c>
      <c r="X406" s="278">
        <v>2035</v>
      </c>
      <c r="Y406" s="278">
        <v>2036</v>
      </c>
      <c r="Z406" s="278">
        <v>2037</v>
      </c>
      <c r="AA406" s="278">
        <v>2038</v>
      </c>
      <c r="AB406" s="278">
        <v>2039</v>
      </c>
      <c r="AC406" s="278">
        <v>2040</v>
      </c>
      <c r="AD406" s="278">
        <v>2041</v>
      </c>
      <c r="AE406" s="278">
        <v>2042</v>
      </c>
      <c r="AF406" s="278">
        <v>2043</v>
      </c>
      <c r="AG406" s="278">
        <v>2044</v>
      </c>
      <c r="AH406" s="278">
        <v>2045</v>
      </c>
      <c r="AI406" s="278">
        <v>2046</v>
      </c>
      <c r="AJ406" s="278">
        <v>2047</v>
      </c>
      <c r="AK406" s="278">
        <v>2048</v>
      </c>
      <c r="AL406" s="278">
        <v>2049</v>
      </c>
      <c r="AM406" s="278">
        <v>2050</v>
      </c>
      <c r="AN406" s="278">
        <v>2051</v>
      </c>
      <c r="AO406" s="278">
        <v>2052</v>
      </c>
      <c r="AP406" s="278">
        <v>2053</v>
      </c>
      <c r="AQ406" s="278">
        <v>2054</v>
      </c>
      <c r="AR406" s="282">
        <v>2055</v>
      </c>
    </row>
    <row r="407" spans="1:44" hidden="1" x14ac:dyDescent="0.2">
      <c r="A407" s="283"/>
      <c r="B407" s="284"/>
      <c r="C407" s="285"/>
      <c r="D407" s="286"/>
      <c r="E407" s="287"/>
      <c r="F407" s="285"/>
      <c r="G407" s="285" t="s">
        <v>243</v>
      </c>
      <c r="H407" s="285" t="s">
        <v>243</v>
      </c>
      <c r="I407" s="285" t="s">
        <v>243</v>
      </c>
      <c r="J407" s="285" t="s">
        <v>243</v>
      </c>
      <c r="K407" s="285" t="s">
        <v>243</v>
      </c>
      <c r="L407" s="285" t="s">
        <v>244</v>
      </c>
      <c r="M407" s="285" t="s">
        <v>245</v>
      </c>
      <c r="N407" s="285"/>
      <c r="O407" s="285"/>
      <c r="P407" s="285"/>
      <c r="Q407" s="285"/>
      <c r="R407" s="285"/>
      <c r="S407" s="285"/>
      <c r="T407" s="285"/>
      <c r="U407" s="288"/>
      <c r="V407" s="289"/>
      <c r="W407" s="285"/>
      <c r="X407" s="285"/>
      <c r="Y407" s="285"/>
      <c r="Z407" s="285"/>
      <c r="AA407" s="285"/>
      <c r="AB407" s="285"/>
      <c r="AC407" s="285"/>
      <c r="AD407" s="285"/>
      <c r="AE407" s="285"/>
      <c r="AF407" s="285"/>
      <c r="AG407" s="285"/>
      <c r="AH407" s="285"/>
      <c r="AI407" s="285"/>
      <c r="AJ407" s="285"/>
      <c r="AK407" s="285"/>
      <c r="AL407" s="285"/>
      <c r="AM407" s="285"/>
      <c r="AN407" s="285"/>
      <c r="AO407" s="285"/>
      <c r="AP407" s="285"/>
      <c r="AQ407" s="285"/>
      <c r="AR407" s="290"/>
    </row>
    <row r="408" spans="1:44" hidden="1" x14ac:dyDescent="0.2">
      <c r="A408" s="283"/>
      <c r="B408" s="291">
        <v>1</v>
      </c>
      <c r="C408" s="283" t="s">
        <v>220</v>
      </c>
      <c r="D408" s="292" t="s">
        <v>221</v>
      </c>
      <c r="E408" s="283"/>
      <c r="F408" s="283"/>
      <c r="G408" s="293"/>
      <c r="H408" s="293"/>
      <c r="I408" s="293"/>
      <c r="J408" s="293"/>
      <c r="K408" s="293"/>
      <c r="L408" s="293"/>
      <c r="M408" s="293"/>
      <c r="N408" s="293">
        <v>0</v>
      </c>
      <c r="O408" s="293">
        <v>0</v>
      </c>
      <c r="P408" s="293">
        <v>0</v>
      </c>
      <c r="Q408" s="293">
        <v>0</v>
      </c>
      <c r="R408" s="294">
        <v>0</v>
      </c>
      <c r="S408" s="294">
        <v>0</v>
      </c>
      <c r="T408" s="294">
        <v>0</v>
      </c>
      <c r="U408" s="294">
        <v>0</v>
      </c>
      <c r="V408" s="294">
        <v>0</v>
      </c>
      <c r="W408" s="294">
        <v>0</v>
      </c>
      <c r="X408" s="294">
        <v>0</v>
      </c>
      <c r="Y408" s="294">
        <v>0</v>
      </c>
      <c r="Z408" s="294">
        <v>0</v>
      </c>
      <c r="AA408" s="294">
        <v>0</v>
      </c>
      <c r="AB408" s="294">
        <v>0</v>
      </c>
      <c r="AC408" s="294">
        <v>0</v>
      </c>
      <c r="AD408" s="294">
        <v>0</v>
      </c>
      <c r="AE408" s="294">
        <v>0</v>
      </c>
      <c r="AF408" s="294">
        <v>0</v>
      </c>
      <c r="AG408" s="294">
        <v>0</v>
      </c>
      <c r="AH408" s="294">
        <v>0</v>
      </c>
      <c r="AI408" s="294">
        <v>0</v>
      </c>
      <c r="AJ408" s="294">
        <v>0</v>
      </c>
      <c r="AK408" s="294">
        <v>0</v>
      </c>
      <c r="AL408" s="294">
        <v>0</v>
      </c>
      <c r="AM408" s="294">
        <v>0</v>
      </c>
      <c r="AN408" s="294">
        <v>0</v>
      </c>
      <c r="AO408" s="294">
        <v>0</v>
      </c>
      <c r="AP408" s="294">
        <v>0</v>
      </c>
      <c r="AQ408" s="294">
        <v>0</v>
      </c>
      <c r="AR408" s="295">
        <v>0</v>
      </c>
    </row>
    <row r="409" spans="1:44" hidden="1" x14ac:dyDescent="0.2">
      <c r="A409" s="283"/>
      <c r="B409" s="291">
        <v>2</v>
      </c>
      <c r="C409" s="283" t="s">
        <v>222</v>
      </c>
      <c r="D409" s="292" t="s">
        <v>223</v>
      </c>
      <c r="E409" s="283"/>
      <c r="F409" s="283"/>
      <c r="G409" s="293"/>
      <c r="H409" s="293"/>
      <c r="I409" s="293"/>
      <c r="J409" s="293"/>
      <c r="K409" s="293"/>
      <c r="L409" s="293"/>
      <c r="M409" s="293"/>
      <c r="N409" s="293">
        <v>13.064999999999998</v>
      </c>
      <c r="O409" s="293">
        <v>13.130324999999996</v>
      </c>
      <c r="P409" s="293">
        <v>13.195976624999995</v>
      </c>
      <c r="Q409" s="293">
        <v>13.261956508124994</v>
      </c>
      <c r="R409" s="294">
        <v>13.328266290665617</v>
      </c>
      <c r="S409" s="294">
        <v>13.394907622118943</v>
      </c>
      <c r="T409" s="294">
        <v>13.461882160229536</v>
      </c>
      <c r="U409" s="294">
        <v>13.529191571030683</v>
      </c>
      <c r="V409" s="294">
        <v>13.596837528885835</v>
      </c>
      <c r="W409" s="294">
        <v>13.664821716530263</v>
      </c>
      <c r="X409" s="294">
        <v>13.733145825112913</v>
      </c>
      <c r="Y409" s="294">
        <v>13.801811554238476</v>
      </c>
      <c r="Z409" s="294">
        <v>13.870820612009666</v>
      </c>
      <c r="AA409" s="294">
        <v>13.940174715069713</v>
      </c>
      <c r="AB409" s="294">
        <v>14.009875588645061</v>
      </c>
      <c r="AC409" s="294">
        <v>14.079924966588283</v>
      </c>
      <c r="AD409" s="294">
        <v>14.150324591421224</v>
      </c>
      <c r="AE409" s="294">
        <v>14.221076214378328</v>
      </c>
      <c r="AF409" s="294">
        <v>14.29218159545022</v>
      </c>
      <c r="AG409" s="294">
        <v>14.363642503427471</v>
      </c>
      <c r="AH409" s="294">
        <v>14.435460715944606</v>
      </c>
      <c r="AI409" s="294">
        <v>14.507638019524327</v>
      </c>
      <c r="AJ409" s="294">
        <v>14.580176209621948</v>
      </c>
      <c r="AK409" s="294">
        <v>14.653077090670056</v>
      </c>
      <c r="AL409" s="294">
        <v>14.726342476123403</v>
      </c>
      <c r="AM409" s="294">
        <v>14.79997418850402</v>
      </c>
      <c r="AN409" s="294">
        <v>14.873974059446537</v>
      </c>
      <c r="AO409" s="294">
        <v>14.948343929743768</v>
      </c>
      <c r="AP409" s="294">
        <v>15.023085649392485</v>
      </c>
      <c r="AQ409" s="294">
        <v>15.098201077639446</v>
      </c>
      <c r="AR409" s="295">
        <v>15.173692083027642</v>
      </c>
    </row>
    <row r="410" spans="1:44" hidden="1" x14ac:dyDescent="0.2">
      <c r="A410" s="283"/>
      <c r="B410" s="291">
        <v>3</v>
      </c>
      <c r="C410" s="283" t="s">
        <v>224</v>
      </c>
      <c r="D410" s="292" t="s">
        <v>225</v>
      </c>
      <c r="E410" s="283"/>
      <c r="F410" s="283"/>
      <c r="G410" s="293"/>
      <c r="H410" s="293"/>
      <c r="I410" s="293"/>
      <c r="J410" s="293"/>
      <c r="K410" s="293"/>
      <c r="L410" s="293"/>
      <c r="M410" s="293"/>
      <c r="N410" s="293">
        <v>0</v>
      </c>
      <c r="O410" s="293">
        <v>0</v>
      </c>
      <c r="P410" s="293">
        <v>0</v>
      </c>
      <c r="Q410" s="293">
        <v>0</v>
      </c>
      <c r="R410" s="294">
        <v>0</v>
      </c>
      <c r="S410" s="294">
        <v>0</v>
      </c>
      <c r="T410" s="294">
        <v>0</v>
      </c>
      <c r="U410" s="294">
        <v>0</v>
      </c>
      <c r="V410" s="294">
        <v>0</v>
      </c>
      <c r="W410" s="294">
        <v>0</v>
      </c>
      <c r="X410" s="294">
        <v>0</v>
      </c>
      <c r="Y410" s="294">
        <v>0</v>
      </c>
      <c r="Z410" s="294">
        <v>0</v>
      </c>
      <c r="AA410" s="294">
        <v>0</v>
      </c>
      <c r="AB410" s="294">
        <v>0</v>
      </c>
      <c r="AC410" s="294">
        <v>0</v>
      </c>
      <c r="AD410" s="294">
        <v>0</v>
      </c>
      <c r="AE410" s="294">
        <v>0</v>
      </c>
      <c r="AF410" s="294">
        <v>0</v>
      </c>
      <c r="AG410" s="294">
        <v>0</v>
      </c>
      <c r="AH410" s="294">
        <v>0</v>
      </c>
      <c r="AI410" s="294">
        <v>0</v>
      </c>
      <c r="AJ410" s="294">
        <v>0</v>
      </c>
      <c r="AK410" s="294">
        <v>0</v>
      </c>
      <c r="AL410" s="294">
        <v>0</v>
      </c>
      <c r="AM410" s="294">
        <v>0</v>
      </c>
      <c r="AN410" s="294">
        <v>0</v>
      </c>
      <c r="AO410" s="294">
        <v>0</v>
      </c>
      <c r="AP410" s="294">
        <v>0</v>
      </c>
      <c r="AQ410" s="294">
        <v>0</v>
      </c>
      <c r="AR410" s="295">
        <v>0</v>
      </c>
    </row>
    <row r="411" spans="1:44" hidden="1" x14ac:dyDescent="0.2">
      <c r="A411" s="283"/>
      <c r="B411" s="291">
        <v>4</v>
      </c>
      <c r="C411" s="283" t="s">
        <v>226</v>
      </c>
      <c r="D411" s="292" t="s">
        <v>227</v>
      </c>
      <c r="E411" s="283"/>
      <c r="F411" s="283"/>
      <c r="G411" s="293"/>
      <c r="H411" s="293"/>
      <c r="I411" s="293"/>
      <c r="J411" s="293"/>
      <c r="K411" s="293"/>
      <c r="L411" s="293"/>
      <c r="M411" s="293"/>
      <c r="N411" s="293">
        <v>190.95</v>
      </c>
      <c r="O411" s="293">
        <v>191.90474999999995</v>
      </c>
      <c r="P411" s="293">
        <v>192.86427374999991</v>
      </c>
      <c r="Q411" s="293">
        <v>193.82859511874989</v>
      </c>
      <c r="R411" s="294">
        <v>194.79773809434363</v>
      </c>
      <c r="S411" s="294">
        <v>195.77172678481531</v>
      </c>
      <c r="T411" s="294">
        <v>196.75058541873938</v>
      </c>
      <c r="U411" s="294">
        <v>197.73433834583304</v>
      </c>
      <c r="V411" s="294">
        <v>198.7230100375622</v>
      </c>
      <c r="W411" s="294">
        <v>199.71662508774997</v>
      </c>
      <c r="X411" s="294">
        <v>200.7152082131887</v>
      </c>
      <c r="Y411" s="294">
        <v>201.71878425425464</v>
      </c>
      <c r="Z411" s="294">
        <v>202.72737817552587</v>
      </c>
      <c r="AA411" s="294">
        <v>203.74101506640349</v>
      </c>
      <c r="AB411" s="294">
        <v>204.7597201417355</v>
      </c>
      <c r="AC411" s="294">
        <v>205.78351874244413</v>
      </c>
      <c r="AD411" s="294">
        <v>206.81243633615634</v>
      </c>
      <c r="AE411" s="294">
        <v>207.84649851783709</v>
      </c>
      <c r="AF411" s="294">
        <v>208.88573101042624</v>
      </c>
      <c r="AG411" s="294">
        <v>209.93015966547836</v>
      </c>
      <c r="AH411" s="294">
        <v>210.97981046380573</v>
      </c>
      <c r="AI411" s="294">
        <v>212.03470951612474</v>
      </c>
      <c r="AJ411" s="294">
        <v>213.09488306370537</v>
      </c>
      <c r="AK411" s="294">
        <v>214.16035747902387</v>
      </c>
      <c r="AL411" s="294">
        <v>215.23115926641896</v>
      </c>
      <c r="AM411" s="294">
        <v>216.30731506275106</v>
      </c>
      <c r="AN411" s="294">
        <v>217.38885163806475</v>
      </c>
      <c r="AO411" s="294">
        <v>218.47579589625508</v>
      </c>
      <c r="AP411" s="294">
        <v>219.56817487573633</v>
      </c>
      <c r="AQ411" s="294">
        <v>220.66601575011501</v>
      </c>
      <c r="AR411" s="295">
        <v>221.76934582886554</v>
      </c>
    </row>
    <row r="412" spans="1:44" hidden="1" x14ac:dyDescent="0.2">
      <c r="A412" s="283"/>
      <c r="B412" s="291">
        <v>5</v>
      </c>
      <c r="C412" s="283" t="s">
        <v>228</v>
      </c>
      <c r="D412" s="292" t="s">
        <v>221</v>
      </c>
      <c r="E412" s="283"/>
      <c r="F412" s="283"/>
      <c r="G412" s="293"/>
      <c r="H412" s="293"/>
      <c r="I412" s="293"/>
      <c r="J412" s="293"/>
      <c r="K412" s="293"/>
      <c r="L412" s="293"/>
      <c r="M412" s="293"/>
      <c r="N412" s="293">
        <v>0</v>
      </c>
      <c r="O412" s="293">
        <v>0</v>
      </c>
      <c r="P412" s="293">
        <v>0</v>
      </c>
      <c r="Q412" s="293">
        <v>0</v>
      </c>
      <c r="R412" s="294">
        <v>0</v>
      </c>
      <c r="S412" s="294">
        <v>0</v>
      </c>
      <c r="T412" s="294">
        <v>0</v>
      </c>
      <c r="U412" s="294">
        <v>0</v>
      </c>
      <c r="V412" s="294">
        <v>0</v>
      </c>
      <c r="W412" s="294">
        <v>0</v>
      </c>
      <c r="X412" s="294">
        <v>0</v>
      </c>
      <c r="Y412" s="294">
        <v>0</v>
      </c>
      <c r="Z412" s="294">
        <v>0</v>
      </c>
      <c r="AA412" s="294">
        <v>0</v>
      </c>
      <c r="AB412" s="294">
        <v>0</v>
      </c>
      <c r="AC412" s="294">
        <v>0</v>
      </c>
      <c r="AD412" s="294">
        <v>0</v>
      </c>
      <c r="AE412" s="294">
        <v>0</v>
      </c>
      <c r="AF412" s="294">
        <v>0</v>
      </c>
      <c r="AG412" s="294">
        <v>0</v>
      </c>
      <c r="AH412" s="294">
        <v>0</v>
      </c>
      <c r="AI412" s="294">
        <v>0</v>
      </c>
      <c r="AJ412" s="294">
        <v>0</v>
      </c>
      <c r="AK412" s="294">
        <v>0</v>
      </c>
      <c r="AL412" s="294">
        <v>0</v>
      </c>
      <c r="AM412" s="294">
        <v>0</v>
      </c>
      <c r="AN412" s="294">
        <v>0</v>
      </c>
      <c r="AO412" s="294">
        <v>0</v>
      </c>
      <c r="AP412" s="294">
        <v>0</v>
      </c>
      <c r="AQ412" s="294">
        <v>0</v>
      </c>
      <c r="AR412" s="295">
        <v>0</v>
      </c>
    </row>
    <row r="413" spans="1:44" hidden="1" x14ac:dyDescent="0.2">
      <c r="A413" s="283"/>
      <c r="B413" s="291">
        <v>6</v>
      </c>
      <c r="C413" s="283" t="s">
        <v>229</v>
      </c>
      <c r="D413" s="292" t="s">
        <v>230</v>
      </c>
      <c r="E413" s="283"/>
      <c r="F413" s="283"/>
      <c r="G413" s="293"/>
      <c r="H413" s="293"/>
      <c r="I413" s="293"/>
      <c r="J413" s="293"/>
      <c r="K413" s="293"/>
      <c r="L413" s="293"/>
      <c r="M413" s="293"/>
      <c r="N413" s="293">
        <v>5.8027599320987644</v>
      </c>
      <c r="O413" s="293">
        <v>5.9300782444753084</v>
      </c>
      <c r="P413" s="293">
        <v>6.0445042513766962</v>
      </c>
      <c r="Q413" s="293">
        <v>6.1594983538681491</v>
      </c>
      <c r="R413" s="294">
        <v>6.2745086324276125</v>
      </c>
      <c r="S413" s="294">
        <v>6.3900871679354294</v>
      </c>
      <c r="T413" s="294">
        <v>6.5056820416763408</v>
      </c>
      <c r="U413" s="294">
        <v>6.6437979773168214</v>
      </c>
      <c r="V413" s="294">
        <v>6.7706780939935296</v>
      </c>
      <c r="W413" s="294">
        <v>6.8975747952042372</v>
      </c>
      <c r="X413" s="294">
        <v>7.0244881638716157</v>
      </c>
      <c r="Y413" s="294">
        <v>7.1755789253082574</v>
      </c>
      <c r="Z413" s="294">
        <v>7.302525879317515</v>
      </c>
      <c r="AA413" s="294">
        <v>7.452546394022745</v>
      </c>
      <c r="AB413" s="294">
        <v>7.5913315910545869</v>
      </c>
      <c r="AC413" s="294">
        <v>7.7537425183925759</v>
      </c>
      <c r="AD413" s="294">
        <v>7.9161706195030579</v>
      </c>
      <c r="AE413" s="294">
        <v>8.0651556592672389</v>
      </c>
      <c r="AF413" s="294">
        <v>8.228722365958637</v>
      </c>
      <c r="AG413" s="294">
        <v>8.3675938633439859</v>
      </c>
      <c r="AH413" s="294">
        <v>8.5649524855002124</v>
      </c>
      <c r="AI413" s="294">
        <v>8.7398240731128976</v>
      </c>
      <c r="AJ413" s="294">
        <v>8.9141613561945086</v>
      </c>
      <c r="AK413" s="294">
        <v>9.0997687442100528</v>
      </c>
      <c r="AL413" s="294">
        <v>9.2864980050915964</v>
      </c>
      <c r="AM413" s="294">
        <v>9.4726932282034735</v>
      </c>
      <c r="AN413" s="294">
        <v>9.682515145332145</v>
      </c>
      <c r="AO413" s="294">
        <v>9.8822068837748542</v>
      </c>
      <c r="AP413" s="294">
        <v>10.080260855230765</v>
      </c>
      <c r="AQ413" s="294">
        <v>10.302396648161569</v>
      </c>
      <c r="AR413" s="295">
        <v>10.513356554859167</v>
      </c>
    </row>
    <row r="414" spans="1:44" hidden="1" x14ac:dyDescent="0.2">
      <c r="A414" s="283"/>
      <c r="B414" s="291">
        <v>7</v>
      </c>
      <c r="C414" s="283" t="s">
        <v>231</v>
      </c>
      <c r="D414" s="292" t="s">
        <v>225</v>
      </c>
      <c r="E414" s="283"/>
      <c r="F414" s="283"/>
      <c r="G414" s="293"/>
      <c r="H414" s="293"/>
      <c r="I414" s="293"/>
      <c r="J414" s="293"/>
      <c r="K414" s="293"/>
      <c r="L414" s="293"/>
      <c r="M414" s="293"/>
      <c r="N414" s="293">
        <v>0</v>
      </c>
      <c r="O414" s="293">
        <v>0</v>
      </c>
      <c r="P414" s="293">
        <v>0</v>
      </c>
      <c r="Q414" s="293">
        <v>0</v>
      </c>
      <c r="R414" s="294">
        <v>0</v>
      </c>
      <c r="S414" s="294">
        <v>0</v>
      </c>
      <c r="T414" s="294">
        <v>0</v>
      </c>
      <c r="U414" s="294">
        <v>0</v>
      </c>
      <c r="V414" s="294">
        <v>0</v>
      </c>
      <c r="W414" s="294">
        <v>0</v>
      </c>
      <c r="X414" s="294">
        <v>0</v>
      </c>
      <c r="Y414" s="294">
        <v>0</v>
      </c>
      <c r="Z414" s="294">
        <v>0</v>
      </c>
      <c r="AA414" s="294">
        <v>0</v>
      </c>
      <c r="AB414" s="294">
        <v>0</v>
      </c>
      <c r="AC414" s="294">
        <v>0</v>
      </c>
      <c r="AD414" s="294">
        <v>0</v>
      </c>
      <c r="AE414" s="294">
        <v>0</v>
      </c>
      <c r="AF414" s="294">
        <v>0</v>
      </c>
      <c r="AG414" s="294">
        <v>0</v>
      </c>
      <c r="AH414" s="294">
        <v>0</v>
      </c>
      <c r="AI414" s="294">
        <v>0</v>
      </c>
      <c r="AJ414" s="294">
        <v>0</v>
      </c>
      <c r="AK414" s="294">
        <v>0</v>
      </c>
      <c r="AL414" s="294">
        <v>0</v>
      </c>
      <c r="AM414" s="294">
        <v>0</v>
      </c>
      <c r="AN414" s="294">
        <v>0</v>
      </c>
      <c r="AO414" s="294">
        <v>0</v>
      </c>
      <c r="AP414" s="294">
        <v>0</v>
      </c>
      <c r="AQ414" s="294">
        <v>0</v>
      </c>
      <c r="AR414" s="295">
        <v>0</v>
      </c>
    </row>
    <row r="415" spans="1:44" hidden="1" x14ac:dyDescent="0.2">
      <c r="A415" s="283"/>
      <c r="B415" s="291">
        <v>8</v>
      </c>
      <c r="C415" s="283" t="s">
        <v>232</v>
      </c>
      <c r="D415" s="292" t="s">
        <v>233</v>
      </c>
      <c r="E415" s="283"/>
      <c r="F415" s="283"/>
      <c r="G415" s="293"/>
      <c r="H415" s="293"/>
      <c r="I415" s="293"/>
      <c r="J415" s="293"/>
      <c r="K415" s="293"/>
      <c r="L415" s="293"/>
      <c r="M415" s="293"/>
      <c r="N415" s="293">
        <v>18.472678988579336</v>
      </c>
      <c r="O415" s="293">
        <v>18.731639119206143</v>
      </c>
      <c r="P415" s="293">
        <v>18.996619674246091</v>
      </c>
      <c r="Q415" s="293">
        <v>19.267874768803484</v>
      </c>
      <c r="R415" s="294">
        <v>19.541342858683759</v>
      </c>
      <c r="S415" s="294">
        <v>19.825911324725308</v>
      </c>
      <c r="T415" s="294">
        <v>20.099315468159006</v>
      </c>
      <c r="U415" s="294">
        <v>20.379636258052468</v>
      </c>
      <c r="V415" s="294">
        <v>20.667217462126544</v>
      </c>
      <c r="W415" s="294">
        <v>20.962428441673868</v>
      </c>
      <c r="X415" s="294">
        <v>21.265666287174195</v>
      </c>
      <c r="Y415" s="294">
        <v>21.554540471022165</v>
      </c>
      <c r="Z415" s="294">
        <v>21.851687819642027</v>
      </c>
      <c r="AA415" s="294">
        <v>22.157589833130491</v>
      </c>
      <c r="AB415" s="294">
        <v>22.472766020027315</v>
      </c>
      <c r="AC415" s="294">
        <v>23.722779427621823</v>
      </c>
      <c r="AD415" s="294">
        <v>24.050584036760341</v>
      </c>
      <c r="AE415" s="294">
        <v>24.389136822799856</v>
      </c>
      <c r="AF415" s="294">
        <v>24.739136759183502</v>
      </c>
      <c r="AG415" s="294">
        <v>25.101339770792332</v>
      </c>
      <c r="AH415" s="294">
        <v>25.476563583911346</v>
      </c>
      <c r="AI415" s="294">
        <v>25.865692992691827</v>
      </c>
      <c r="AJ415" s="294">
        <v>26.269685577942987</v>
      </c>
      <c r="AK415" s="294">
        <v>26.689577917171622</v>
      </c>
      <c r="AL415" s="294">
        <v>27.126492328137154</v>
      </c>
      <c r="AM415" s="294">
        <v>27.581644191829028</v>
      </c>
      <c r="AN415" s="294">
        <v>28.056349904724385</v>
      </c>
      <c r="AO415" s="294">
        <v>28.552035514476415</v>
      </c>
      <c r="AP415" s="294">
        <v>29.070246097844635</v>
      </c>
      <c r="AQ415" s="294">
        <v>29.612655944741785</v>
      </c>
      <c r="AR415" s="295">
        <v>30.016259144736431</v>
      </c>
    </row>
    <row r="416" spans="1:44" hidden="1" x14ac:dyDescent="0.2">
      <c r="B416" s="304"/>
      <c r="C416" s="158" t="s">
        <v>84</v>
      </c>
      <c r="D416" s="159"/>
      <c r="E416" s="158"/>
      <c r="F416" s="158"/>
      <c r="G416" s="297">
        <v>0</v>
      </c>
      <c r="H416" s="297">
        <v>0</v>
      </c>
      <c r="I416" s="297">
        <v>0</v>
      </c>
      <c r="J416" s="297">
        <v>0</v>
      </c>
      <c r="K416" s="297">
        <v>0</v>
      </c>
      <c r="L416" s="297">
        <v>0</v>
      </c>
      <c r="M416" s="297">
        <v>0</v>
      </c>
      <c r="N416" s="298">
        <v>228.29043892067807</v>
      </c>
      <c r="O416" s="298">
        <v>229.6967923636814</v>
      </c>
      <c r="P416" s="298">
        <v>231.10137430062269</v>
      </c>
      <c r="Q416" s="298">
        <v>232.51792474954652</v>
      </c>
      <c r="R416" s="298">
        <v>233.94185587612063</v>
      </c>
      <c r="S416" s="298">
        <v>235.382632899595</v>
      </c>
      <c r="T416" s="298">
        <v>236.81746508880428</v>
      </c>
      <c r="U416" s="298">
        <v>238.286964152233</v>
      </c>
      <c r="V416" s="298">
        <v>239.75774312256812</v>
      </c>
      <c r="W416" s="298">
        <v>241.24145004115834</v>
      </c>
      <c r="X416" s="298">
        <v>242.7385084893474</v>
      </c>
      <c r="Y416" s="298">
        <v>244.25071520482354</v>
      </c>
      <c r="Z416" s="298">
        <v>245.75241248649507</v>
      </c>
      <c r="AA416" s="298">
        <v>247.29132600862641</v>
      </c>
      <c r="AB416" s="298">
        <v>248.83369334146246</v>
      </c>
      <c r="AC416" s="298">
        <v>251.33996565504683</v>
      </c>
      <c r="AD416" s="298">
        <v>252.92951558384095</v>
      </c>
      <c r="AE416" s="298">
        <v>254.52186721428251</v>
      </c>
      <c r="AF416" s="298">
        <v>256.14577173101861</v>
      </c>
      <c r="AG416" s="298">
        <v>257.76273580304212</v>
      </c>
      <c r="AH416" s="298">
        <v>259.45678724916189</v>
      </c>
      <c r="AI416" s="298">
        <v>261.14786460145376</v>
      </c>
      <c r="AJ416" s="298">
        <v>262.85890620746483</v>
      </c>
      <c r="AK416" s="298">
        <v>264.6027812310756</v>
      </c>
      <c r="AL416" s="298">
        <v>266.3704920757711</v>
      </c>
      <c r="AM416" s="298">
        <v>268.16162667128759</v>
      </c>
      <c r="AN416" s="298">
        <v>270.00169074756781</v>
      </c>
      <c r="AO416" s="298">
        <v>271.85838222425014</v>
      </c>
      <c r="AP416" s="298">
        <v>273.74176747820422</v>
      </c>
      <c r="AQ416" s="298">
        <v>275.67926942065782</v>
      </c>
      <c r="AR416" s="299">
        <v>277.47265361148879</v>
      </c>
    </row>
    <row r="417" spans="1:44" hidden="1" x14ac:dyDescent="0.2">
      <c r="A417" s="300"/>
      <c r="B417" s="301"/>
      <c r="C417" s="300"/>
      <c r="D417" s="300"/>
      <c r="E417" s="300"/>
      <c r="F417" s="300"/>
      <c r="G417" s="302"/>
      <c r="H417" s="302"/>
      <c r="I417" s="302"/>
      <c r="J417" s="302"/>
      <c r="K417" s="302"/>
      <c r="L417" s="302"/>
      <c r="M417" s="302"/>
      <c r="N417" s="302"/>
      <c r="O417" s="302"/>
      <c r="P417" s="302"/>
      <c r="Q417" s="300"/>
      <c r="R417" s="300"/>
      <c r="S417" s="300"/>
      <c r="T417" s="300"/>
      <c r="U417" s="300"/>
      <c r="V417" s="300"/>
      <c r="W417" s="300"/>
      <c r="X417" s="300"/>
      <c r="Y417" s="300"/>
      <c r="Z417" s="300"/>
      <c r="AA417" s="300"/>
      <c r="AB417" s="300"/>
      <c r="AC417" s="300"/>
      <c r="AD417" s="300"/>
      <c r="AE417" s="300"/>
      <c r="AF417" s="300"/>
      <c r="AG417" s="300"/>
      <c r="AH417" s="300"/>
      <c r="AI417" s="300"/>
      <c r="AJ417" s="300"/>
      <c r="AK417" s="300"/>
      <c r="AL417" s="300"/>
      <c r="AM417" s="300"/>
      <c r="AN417" s="300"/>
      <c r="AO417" s="300"/>
      <c r="AP417" s="300"/>
      <c r="AQ417" s="300"/>
      <c r="AR417" s="303"/>
    </row>
    <row r="418" spans="1:44" hidden="1" x14ac:dyDescent="0.2">
      <c r="A418" s="270"/>
      <c r="B418" s="271"/>
      <c r="C418" s="272" t="s">
        <v>281</v>
      </c>
      <c r="D418" s="272"/>
      <c r="E418" s="272"/>
      <c r="F418" s="272"/>
      <c r="G418" s="272"/>
      <c r="H418" s="272"/>
      <c r="I418" s="272"/>
      <c r="J418" s="272"/>
      <c r="K418" s="272"/>
      <c r="L418" s="272"/>
      <c r="M418" s="272"/>
      <c r="N418" s="272"/>
      <c r="O418" s="272"/>
      <c r="P418" s="272"/>
      <c r="Q418" s="272"/>
      <c r="R418" s="272"/>
      <c r="S418" s="272"/>
      <c r="T418" s="272"/>
      <c r="U418" s="272"/>
      <c r="V418" s="272"/>
      <c r="W418" s="272"/>
      <c r="X418" s="272"/>
      <c r="Y418" s="272"/>
      <c r="Z418" s="272"/>
      <c r="AA418" s="272"/>
      <c r="AB418" s="272"/>
      <c r="AC418" s="272"/>
      <c r="AD418" s="272"/>
      <c r="AE418" s="272"/>
      <c r="AF418" s="272"/>
      <c r="AG418" s="273"/>
      <c r="AH418" s="272"/>
      <c r="AI418" s="274"/>
      <c r="AJ418" s="272"/>
      <c r="AK418" s="272"/>
      <c r="AL418" s="273"/>
      <c r="AM418" s="273"/>
      <c r="AN418" s="273"/>
      <c r="AO418" s="273"/>
      <c r="AP418" s="273"/>
      <c r="AQ418" s="273"/>
      <c r="AR418" s="275"/>
    </row>
    <row r="419" spans="1:44" ht="45" hidden="1" x14ac:dyDescent="0.2">
      <c r="A419" s="276"/>
      <c r="B419" s="277"/>
      <c r="C419" s="278" t="s">
        <v>278</v>
      </c>
      <c r="D419" s="279" t="s">
        <v>279</v>
      </c>
      <c r="E419" s="278"/>
      <c r="F419" s="278"/>
      <c r="G419" s="280">
        <v>2019</v>
      </c>
      <c r="H419" s="280">
        <v>2020</v>
      </c>
      <c r="I419" s="280">
        <v>2021</v>
      </c>
      <c r="J419" s="280">
        <v>2022</v>
      </c>
      <c r="K419" s="280">
        <v>2023</v>
      </c>
      <c r="L419" s="281">
        <v>45352</v>
      </c>
      <c r="M419" s="280">
        <v>2024</v>
      </c>
      <c r="N419" s="278">
        <v>2025</v>
      </c>
      <c r="O419" s="278">
        <v>2026</v>
      </c>
      <c r="P419" s="278">
        <v>2027</v>
      </c>
      <c r="Q419" s="278">
        <v>2028</v>
      </c>
      <c r="R419" s="278">
        <v>2029</v>
      </c>
      <c r="S419" s="278">
        <v>2030</v>
      </c>
      <c r="T419" s="278">
        <v>2031</v>
      </c>
      <c r="U419" s="278">
        <v>2032</v>
      </c>
      <c r="V419" s="278">
        <v>2033</v>
      </c>
      <c r="W419" s="278">
        <v>2034</v>
      </c>
      <c r="X419" s="278">
        <v>2035</v>
      </c>
      <c r="Y419" s="278">
        <v>2036</v>
      </c>
      <c r="Z419" s="278">
        <v>2037</v>
      </c>
      <c r="AA419" s="278">
        <v>2038</v>
      </c>
      <c r="AB419" s="278">
        <v>2039</v>
      </c>
      <c r="AC419" s="278">
        <v>2040</v>
      </c>
      <c r="AD419" s="278">
        <v>2041</v>
      </c>
      <c r="AE419" s="278">
        <v>2042</v>
      </c>
      <c r="AF419" s="278">
        <v>2043</v>
      </c>
      <c r="AG419" s="278">
        <v>2044</v>
      </c>
      <c r="AH419" s="278">
        <v>2045</v>
      </c>
      <c r="AI419" s="278">
        <v>2046</v>
      </c>
      <c r="AJ419" s="278">
        <v>2047</v>
      </c>
      <c r="AK419" s="278">
        <v>2048</v>
      </c>
      <c r="AL419" s="278">
        <v>2049</v>
      </c>
      <c r="AM419" s="278">
        <v>2050</v>
      </c>
      <c r="AN419" s="278">
        <v>2051</v>
      </c>
      <c r="AO419" s="278">
        <v>2052</v>
      </c>
      <c r="AP419" s="278">
        <v>2053</v>
      </c>
      <c r="AQ419" s="278">
        <v>2054</v>
      </c>
      <c r="AR419" s="282">
        <v>2055</v>
      </c>
    </row>
    <row r="420" spans="1:44" hidden="1" x14ac:dyDescent="0.2">
      <c r="A420" s="283"/>
      <c r="B420" s="284"/>
      <c r="C420" s="285"/>
      <c r="D420" s="286"/>
      <c r="E420" s="287"/>
      <c r="F420" s="285"/>
      <c r="G420" s="285" t="s">
        <v>243</v>
      </c>
      <c r="H420" s="285" t="s">
        <v>243</v>
      </c>
      <c r="I420" s="285" t="s">
        <v>243</v>
      </c>
      <c r="J420" s="285" t="s">
        <v>243</v>
      </c>
      <c r="K420" s="285" t="s">
        <v>243</v>
      </c>
      <c r="L420" s="285" t="s">
        <v>244</v>
      </c>
      <c r="M420" s="285" t="s">
        <v>245</v>
      </c>
      <c r="N420" s="285"/>
      <c r="O420" s="285"/>
      <c r="P420" s="285"/>
      <c r="Q420" s="285"/>
      <c r="R420" s="285"/>
      <c r="S420" s="285"/>
      <c r="T420" s="285"/>
      <c r="U420" s="288"/>
      <c r="V420" s="289"/>
      <c r="W420" s="285"/>
      <c r="X420" s="285"/>
      <c r="Y420" s="285"/>
      <c r="Z420" s="285"/>
      <c r="AA420" s="285"/>
      <c r="AB420" s="285"/>
      <c r="AC420" s="285"/>
      <c r="AD420" s="285"/>
      <c r="AE420" s="285"/>
      <c r="AF420" s="285"/>
      <c r="AG420" s="285"/>
      <c r="AH420" s="285"/>
      <c r="AI420" s="285"/>
      <c r="AJ420" s="285"/>
      <c r="AK420" s="285"/>
      <c r="AL420" s="285"/>
      <c r="AM420" s="285"/>
      <c r="AN420" s="285"/>
      <c r="AO420" s="285"/>
      <c r="AP420" s="285"/>
      <c r="AQ420" s="285"/>
      <c r="AR420" s="290"/>
    </row>
    <row r="421" spans="1:44" hidden="1" x14ac:dyDescent="0.2">
      <c r="A421" s="283"/>
      <c r="B421" s="291">
        <v>1</v>
      </c>
      <c r="C421" s="283" t="s">
        <v>220</v>
      </c>
      <c r="D421" s="292" t="s">
        <v>221</v>
      </c>
      <c r="E421" s="283"/>
      <c r="F421" s="283"/>
      <c r="G421" s="293"/>
      <c r="H421" s="293"/>
      <c r="I421" s="293"/>
      <c r="J421" s="293"/>
      <c r="K421" s="293"/>
      <c r="L421" s="293"/>
      <c r="M421" s="293"/>
      <c r="N421" s="293">
        <v>0</v>
      </c>
      <c r="O421" s="293">
        <v>0</v>
      </c>
      <c r="P421" s="293">
        <v>0</v>
      </c>
      <c r="Q421" s="293">
        <v>0</v>
      </c>
      <c r="R421" s="294">
        <v>0</v>
      </c>
      <c r="S421" s="294">
        <v>0</v>
      </c>
      <c r="T421" s="294">
        <v>0</v>
      </c>
      <c r="U421" s="294">
        <v>0</v>
      </c>
      <c r="V421" s="294">
        <v>0</v>
      </c>
      <c r="W421" s="294">
        <v>0</v>
      </c>
      <c r="X421" s="294">
        <v>0</v>
      </c>
      <c r="Y421" s="294">
        <v>0</v>
      </c>
      <c r="Z421" s="294">
        <v>0</v>
      </c>
      <c r="AA421" s="294">
        <v>0</v>
      </c>
      <c r="AB421" s="294">
        <v>0</v>
      </c>
      <c r="AC421" s="294">
        <v>0</v>
      </c>
      <c r="AD421" s="294">
        <v>0</v>
      </c>
      <c r="AE421" s="294">
        <v>0</v>
      </c>
      <c r="AF421" s="294">
        <v>0</v>
      </c>
      <c r="AG421" s="294">
        <v>0</v>
      </c>
      <c r="AH421" s="294">
        <v>0</v>
      </c>
      <c r="AI421" s="294">
        <v>0</v>
      </c>
      <c r="AJ421" s="294">
        <v>0</v>
      </c>
      <c r="AK421" s="294">
        <v>0</v>
      </c>
      <c r="AL421" s="294">
        <v>0</v>
      </c>
      <c r="AM421" s="294">
        <v>0</v>
      </c>
      <c r="AN421" s="294">
        <v>0</v>
      </c>
      <c r="AO421" s="294">
        <v>0</v>
      </c>
      <c r="AP421" s="294">
        <v>0</v>
      </c>
      <c r="AQ421" s="294">
        <v>0</v>
      </c>
      <c r="AR421" s="295">
        <v>0</v>
      </c>
    </row>
    <row r="422" spans="1:44" hidden="1" x14ac:dyDescent="0.2">
      <c r="A422" s="283"/>
      <c r="B422" s="291">
        <v>2</v>
      </c>
      <c r="C422" s="283" t="s">
        <v>222</v>
      </c>
      <c r="D422" s="292" t="s">
        <v>223</v>
      </c>
      <c r="E422" s="283"/>
      <c r="F422" s="283"/>
      <c r="G422" s="293"/>
      <c r="H422" s="293"/>
      <c r="I422" s="293"/>
      <c r="J422" s="293"/>
      <c r="K422" s="293"/>
      <c r="L422" s="293"/>
      <c r="M422" s="293"/>
      <c r="N422" s="293">
        <v>4</v>
      </c>
      <c r="O422" s="293">
        <v>4</v>
      </c>
      <c r="P422" s="293">
        <v>4</v>
      </c>
      <c r="Q422" s="293">
        <v>4</v>
      </c>
      <c r="R422" s="294">
        <v>4</v>
      </c>
      <c r="S422" s="294">
        <v>4</v>
      </c>
      <c r="T422" s="294">
        <v>4</v>
      </c>
      <c r="U422" s="294">
        <v>4</v>
      </c>
      <c r="V422" s="294">
        <v>4</v>
      </c>
      <c r="W422" s="294">
        <v>4</v>
      </c>
      <c r="X422" s="294">
        <v>4</v>
      </c>
      <c r="Y422" s="294">
        <v>4</v>
      </c>
      <c r="Z422" s="294">
        <v>4</v>
      </c>
      <c r="AA422" s="294">
        <v>4</v>
      </c>
      <c r="AB422" s="294">
        <v>4</v>
      </c>
      <c r="AC422" s="294">
        <v>4</v>
      </c>
      <c r="AD422" s="294">
        <v>4</v>
      </c>
      <c r="AE422" s="294">
        <v>4</v>
      </c>
      <c r="AF422" s="294">
        <v>4</v>
      </c>
      <c r="AG422" s="294">
        <v>4</v>
      </c>
      <c r="AH422" s="294">
        <v>4</v>
      </c>
      <c r="AI422" s="294">
        <v>4</v>
      </c>
      <c r="AJ422" s="294">
        <v>4</v>
      </c>
      <c r="AK422" s="294">
        <v>4</v>
      </c>
      <c r="AL422" s="294">
        <v>4</v>
      </c>
      <c r="AM422" s="294">
        <v>4</v>
      </c>
      <c r="AN422" s="294">
        <v>4</v>
      </c>
      <c r="AO422" s="294">
        <v>4</v>
      </c>
      <c r="AP422" s="294">
        <v>4</v>
      </c>
      <c r="AQ422" s="294">
        <v>4</v>
      </c>
      <c r="AR422" s="295">
        <v>4</v>
      </c>
    </row>
    <row r="423" spans="1:44" hidden="1" x14ac:dyDescent="0.2">
      <c r="A423" s="283"/>
      <c r="B423" s="291">
        <v>3</v>
      </c>
      <c r="C423" s="283" t="s">
        <v>224</v>
      </c>
      <c r="D423" s="292" t="s">
        <v>225</v>
      </c>
      <c r="E423" s="283"/>
      <c r="F423" s="283"/>
      <c r="G423" s="293"/>
      <c r="H423" s="293"/>
      <c r="I423" s="293"/>
      <c r="J423" s="293"/>
      <c r="K423" s="293"/>
      <c r="L423" s="293"/>
      <c r="M423" s="293"/>
      <c r="N423" s="293">
        <v>0</v>
      </c>
      <c r="O423" s="293">
        <v>0</v>
      </c>
      <c r="P423" s="293">
        <v>0</v>
      </c>
      <c r="Q423" s="293">
        <v>0</v>
      </c>
      <c r="R423" s="294">
        <v>0</v>
      </c>
      <c r="S423" s="294">
        <v>0</v>
      </c>
      <c r="T423" s="294">
        <v>0</v>
      </c>
      <c r="U423" s="294">
        <v>0</v>
      </c>
      <c r="V423" s="294">
        <v>0</v>
      </c>
      <c r="W423" s="294">
        <v>0</v>
      </c>
      <c r="X423" s="294">
        <v>0</v>
      </c>
      <c r="Y423" s="294">
        <v>0</v>
      </c>
      <c r="Z423" s="294">
        <v>0</v>
      </c>
      <c r="AA423" s="294">
        <v>0</v>
      </c>
      <c r="AB423" s="294">
        <v>0</v>
      </c>
      <c r="AC423" s="294">
        <v>0</v>
      </c>
      <c r="AD423" s="294">
        <v>0</v>
      </c>
      <c r="AE423" s="294">
        <v>0</v>
      </c>
      <c r="AF423" s="294">
        <v>0</v>
      </c>
      <c r="AG423" s="294">
        <v>0</v>
      </c>
      <c r="AH423" s="294">
        <v>0</v>
      </c>
      <c r="AI423" s="294">
        <v>0</v>
      </c>
      <c r="AJ423" s="294">
        <v>0</v>
      </c>
      <c r="AK423" s="294">
        <v>0</v>
      </c>
      <c r="AL423" s="294">
        <v>0</v>
      </c>
      <c r="AM423" s="294">
        <v>0</v>
      </c>
      <c r="AN423" s="294">
        <v>0</v>
      </c>
      <c r="AO423" s="294">
        <v>0</v>
      </c>
      <c r="AP423" s="294">
        <v>0</v>
      </c>
      <c r="AQ423" s="294">
        <v>0</v>
      </c>
      <c r="AR423" s="295">
        <v>0</v>
      </c>
    </row>
    <row r="424" spans="1:44" hidden="1" x14ac:dyDescent="0.2">
      <c r="A424" s="283"/>
      <c r="B424" s="291">
        <v>4</v>
      </c>
      <c r="C424" s="283" t="s">
        <v>226</v>
      </c>
      <c r="D424" s="292" t="s">
        <v>227</v>
      </c>
      <c r="E424" s="283"/>
      <c r="F424" s="283"/>
      <c r="G424" s="293"/>
      <c r="H424" s="293"/>
      <c r="I424" s="293"/>
      <c r="J424" s="293"/>
      <c r="K424" s="293"/>
      <c r="L424" s="293"/>
      <c r="M424" s="293"/>
      <c r="N424" s="293">
        <v>0</v>
      </c>
      <c r="O424" s="293">
        <v>0</v>
      </c>
      <c r="P424" s="293">
        <v>0</v>
      </c>
      <c r="Q424" s="293">
        <v>0</v>
      </c>
      <c r="R424" s="294">
        <v>0</v>
      </c>
      <c r="S424" s="294">
        <v>0</v>
      </c>
      <c r="T424" s="294">
        <v>0</v>
      </c>
      <c r="U424" s="294">
        <v>0</v>
      </c>
      <c r="V424" s="294">
        <v>0</v>
      </c>
      <c r="W424" s="294">
        <v>0</v>
      </c>
      <c r="X424" s="294">
        <v>0</v>
      </c>
      <c r="Y424" s="294">
        <v>0</v>
      </c>
      <c r="Z424" s="294">
        <v>0</v>
      </c>
      <c r="AA424" s="294">
        <v>0</v>
      </c>
      <c r="AB424" s="294">
        <v>0</v>
      </c>
      <c r="AC424" s="294">
        <v>0</v>
      </c>
      <c r="AD424" s="294">
        <v>0</v>
      </c>
      <c r="AE424" s="294">
        <v>0</v>
      </c>
      <c r="AF424" s="294">
        <v>0</v>
      </c>
      <c r="AG424" s="294">
        <v>0</v>
      </c>
      <c r="AH424" s="294">
        <v>0</v>
      </c>
      <c r="AI424" s="294">
        <v>0</v>
      </c>
      <c r="AJ424" s="294">
        <v>0</v>
      </c>
      <c r="AK424" s="294">
        <v>0</v>
      </c>
      <c r="AL424" s="294">
        <v>0</v>
      </c>
      <c r="AM424" s="294">
        <v>0</v>
      </c>
      <c r="AN424" s="294">
        <v>0</v>
      </c>
      <c r="AO424" s="294">
        <v>0</v>
      </c>
      <c r="AP424" s="294">
        <v>0</v>
      </c>
      <c r="AQ424" s="294">
        <v>0</v>
      </c>
      <c r="AR424" s="295">
        <v>0</v>
      </c>
    </row>
    <row r="425" spans="1:44" hidden="1" x14ac:dyDescent="0.2">
      <c r="A425" s="283"/>
      <c r="B425" s="291">
        <v>5</v>
      </c>
      <c r="C425" s="283" t="s">
        <v>228</v>
      </c>
      <c r="D425" s="292" t="s">
        <v>221</v>
      </c>
      <c r="E425" s="283"/>
      <c r="F425" s="283"/>
      <c r="G425" s="293"/>
      <c r="H425" s="293"/>
      <c r="I425" s="293"/>
      <c r="J425" s="293"/>
      <c r="K425" s="293"/>
      <c r="L425" s="293"/>
      <c r="M425" s="293"/>
      <c r="N425" s="293">
        <v>0</v>
      </c>
      <c r="O425" s="293">
        <v>0</v>
      </c>
      <c r="P425" s="293">
        <v>0</v>
      </c>
      <c r="Q425" s="293">
        <v>0</v>
      </c>
      <c r="R425" s="294">
        <v>0</v>
      </c>
      <c r="S425" s="294">
        <v>0</v>
      </c>
      <c r="T425" s="294">
        <v>0</v>
      </c>
      <c r="U425" s="294">
        <v>0</v>
      </c>
      <c r="V425" s="294">
        <v>0</v>
      </c>
      <c r="W425" s="294">
        <v>0</v>
      </c>
      <c r="X425" s="294">
        <v>0</v>
      </c>
      <c r="Y425" s="294">
        <v>0</v>
      </c>
      <c r="Z425" s="294">
        <v>0</v>
      </c>
      <c r="AA425" s="294">
        <v>0</v>
      </c>
      <c r="AB425" s="294">
        <v>0</v>
      </c>
      <c r="AC425" s="294">
        <v>0</v>
      </c>
      <c r="AD425" s="294">
        <v>0</v>
      </c>
      <c r="AE425" s="294">
        <v>0</v>
      </c>
      <c r="AF425" s="294">
        <v>0</v>
      </c>
      <c r="AG425" s="294">
        <v>0</v>
      </c>
      <c r="AH425" s="294">
        <v>0</v>
      </c>
      <c r="AI425" s="294">
        <v>0</v>
      </c>
      <c r="AJ425" s="294">
        <v>0</v>
      </c>
      <c r="AK425" s="294">
        <v>0</v>
      </c>
      <c r="AL425" s="294">
        <v>0</v>
      </c>
      <c r="AM425" s="294">
        <v>0</v>
      </c>
      <c r="AN425" s="294">
        <v>0</v>
      </c>
      <c r="AO425" s="294">
        <v>0</v>
      </c>
      <c r="AP425" s="294">
        <v>0</v>
      </c>
      <c r="AQ425" s="294">
        <v>0</v>
      </c>
      <c r="AR425" s="295">
        <v>0</v>
      </c>
    </row>
    <row r="426" spans="1:44" hidden="1" x14ac:dyDescent="0.2">
      <c r="A426" s="283"/>
      <c r="B426" s="291">
        <v>6</v>
      </c>
      <c r="C426" s="283" t="s">
        <v>229</v>
      </c>
      <c r="D426" s="292" t="s">
        <v>230</v>
      </c>
      <c r="E426" s="283"/>
      <c r="F426" s="283"/>
      <c r="G426" s="293"/>
      <c r="H426" s="293"/>
      <c r="I426" s="293"/>
      <c r="J426" s="293"/>
      <c r="K426" s="293"/>
      <c r="L426" s="293"/>
      <c r="M426" s="293"/>
      <c r="N426" s="293">
        <v>0</v>
      </c>
      <c r="O426" s="293">
        <v>0</v>
      </c>
      <c r="P426" s="293">
        <v>0</v>
      </c>
      <c r="Q426" s="293">
        <v>0</v>
      </c>
      <c r="R426" s="294">
        <v>0</v>
      </c>
      <c r="S426" s="294">
        <v>0</v>
      </c>
      <c r="T426" s="294">
        <v>0</v>
      </c>
      <c r="U426" s="294">
        <v>0</v>
      </c>
      <c r="V426" s="294">
        <v>0</v>
      </c>
      <c r="W426" s="294">
        <v>0</v>
      </c>
      <c r="X426" s="294">
        <v>0</v>
      </c>
      <c r="Y426" s="294">
        <v>0</v>
      </c>
      <c r="Z426" s="294">
        <v>0</v>
      </c>
      <c r="AA426" s="294">
        <v>0</v>
      </c>
      <c r="AB426" s="294">
        <v>0</v>
      </c>
      <c r="AC426" s="294">
        <v>0</v>
      </c>
      <c r="AD426" s="294">
        <v>0</v>
      </c>
      <c r="AE426" s="294">
        <v>0</v>
      </c>
      <c r="AF426" s="294">
        <v>0</v>
      </c>
      <c r="AG426" s="294">
        <v>0</v>
      </c>
      <c r="AH426" s="294">
        <v>0</v>
      </c>
      <c r="AI426" s="294">
        <v>0</v>
      </c>
      <c r="AJ426" s="294">
        <v>0</v>
      </c>
      <c r="AK426" s="294">
        <v>0</v>
      </c>
      <c r="AL426" s="294">
        <v>0</v>
      </c>
      <c r="AM426" s="294">
        <v>0</v>
      </c>
      <c r="AN426" s="294">
        <v>0</v>
      </c>
      <c r="AO426" s="294">
        <v>0</v>
      </c>
      <c r="AP426" s="294">
        <v>0</v>
      </c>
      <c r="AQ426" s="294">
        <v>0</v>
      </c>
      <c r="AR426" s="295">
        <v>0</v>
      </c>
    </row>
    <row r="427" spans="1:44" hidden="1" x14ac:dyDescent="0.2">
      <c r="A427" s="283"/>
      <c r="B427" s="291">
        <v>7</v>
      </c>
      <c r="C427" s="283" t="s">
        <v>231</v>
      </c>
      <c r="D427" s="292" t="s">
        <v>225</v>
      </c>
      <c r="E427" s="283"/>
      <c r="F427" s="283"/>
      <c r="G427" s="293"/>
      <c r="H427" s="293"/>
      <c r="I427" s="293"/>
      <c r="J427" s="293"/>
      <c r="K427" s="293"/>
      <c r="L427" s="293"/>
      <c r="M427" s="293"/>
      <c r="N427" s="293">
        <v>0</v>
      </c>
      <c r="O427" s="293">
        <v>0</v>
      </c>
      <c r="P427" s="293">
        <v>0</v>
      </c>
      <c r="Q427" s="293">
        <v>0</v>
      </c>
      <c r="R427" s="294">
        <v>0</v>
      </c>
      <c r="S427" s="294">
        <v>0</v>
      </c>
      <c r="T427" s="294">
        <v>0</v>
      </c>
      <c r="U427" s="294">
        <v>0</v>
      </c>
      <c r="V427" s="294">
        <v>0</v>
      </c>
      <c r="W427" s="294">
        <v>0</v>
      </c>
      <c r="X427" s="294">
        <v>0</v>
      </c>
      <c r="Y427" s="294">
        <v>0</v>
      </c>
      <c r="Z427" s="294">
        <v>0</v>
      </c>
      <c r="AA427" s="294">
        <v>0</v>
      </c>
      <c r="AB427" s="294">
        <v>0</v>
      </c>
      <c r="AC427" s="294">
        <v>0</v>
      </c>
      <c r="AD427" s="294">
        <v>0</v>
      </c>
      <c r="AE427" s="294">
        <v>0</v>
      </c>
      <c r="AF427" s="294">
        <v>0</v>
      </c>
      <c r="AG427" s="294">
        <v>0</v>
      </c>
      <c r="AH427" s="294">
        <v>0</v>
      </c>
      <c r="AI427" s="294">
        <v>0</v>
      </c>
      <c r="AJ427" s="294">
        <v>0</v>
      </c>
      <c r="AK427" s="294">
        <v>0</v>
      </c>
      <c r="AL427" s="294">
        <v>0</v>
      </c>
      <c r="AM427" s="294">
        <v>0</v>
      </c>
      <c r="AN427" s="294">
        <v>0</v>
      </c>
      <c r="AO427" s="294">
        <v>0</v>
      </c>
      <c r="AP427" s="294">
        <v>0</v>
      </c>
      <c r="AQ427" s="294">
        <v>0</v>
      </c>
      <c r="AR427" s="295">
        <v>0</v>
      </c>
    </row>
    <row r="428" spans="1:44" hidden="1" x14ac:dyDescent="0.2">
      <c r="A428" s="283"/>
      <c r="B428" s="291">
        <v>8</v>
      </c>
      <c r="C428" s="283" t="s">
        <v>232</v>
      </c>
      <c r="D428" s="292" t="s">
        <v>233</v>
      </c>
      <c r="E428" s="283"/>
      <c r="F428" s="283"/>
      <c r="G428" s="293"/>
      <c r="H428" s="293"/>
      <c r="I428" s="293"/>
      <c r="J428" s="293"/>
      <c r="K428" s="293"/>
      <c r="L428" s="293"/>
      <c r="M428" s="293"/>
      <c r="N428" s="293">
        <v>0</v>
      </c>
      <c r="O428" s="293">
        <v>0</v>
      </c>
      <c r="P428" s="293">
        <v>0</v>
      </c>
      <c r="Q428" s="293">
        <v>0</v>
      </c>
      <c r="R428" s="294">
        <v>0</v>
      </c>
      <c r="S428" s="294">
        <v>0</v>
      </c>
      <c r="T428" s="294">
        <v>0</v>
      </c>
      <c r="U428" s="294">
        <v>0</v>
      </c>
      <c r="V428" s="294">
        <v>0</v>
      </c>
      <c r="W428" s="294">
        <v>0</v>
      </c>
      <c r="X428" s="294">
        <v>0</v>
      </c>
      <c r="Y428" s="294">
        <v>0</v>
      </c>
      <c r="Z428" s="294">
        <v>0</v>
      </c>
      <c r="AA428" s="294">
        <v>0</v>
      </c>
      <c r="AB428" s="294">
        <v>0</v>
      </c>
      <c r="AC428" s="294">
        <v>0</v>
      </c>
      <c r="AD428" s="294">
        <v>0</v>
      </c>
      <c r="AE428" s="294">
        <v>0</v>
      </c>
      <c r="AF428" s="294">
        <v>0</v>
      </c>
      <c r="AG428" s="294">
        <v>0</v>
      </c>
      <c r="AH428" s="294">
        <v>0</v>
      </c>
      <c r="AI428" s="294">
        <v>0</v>
      </c>
      <c r="AJ428" s="294">
        <v>0</v>
      </c>
      <c r="AK428" s="294">
        <v>0</v>
      </c>
      <c r="AL428" s="294">
        <v>0</v>
      </c>
      <c r="AM428" s="294">
        <v>0</v>
      </c>
      <c r="AN428" s="294">
        <v>0</v>
      </c>
      <c r="AO428" s="294">
        <v>0</v>
      </c>
      <c r="AP428" s="294">
        <v>0</v>
      </c>
      <c r="AQ428" s="294">
        <v>0</v>
      </c>
      <c r="AR428" s="295">
        <v>0</v>
      </c>
    </row>
    <row r="429" spans="1:44" hidden="1" x14ac:dyDescent="0.2">
      <c r="B429" s="304"/>
      <c r="C429" s="158" t="s">
        <v>84</v>
      </c>
      <c r="D429" s="159"/>
      <c r="E429" s="158"/>
      <c r="F429" s="158"/>
      <c r="G429" s="297">
        <v>0</v>
      </c>
      <c r="H429" s="297">
        <v>0</v>
      </c>
      <c r="I429" s="297">
        <v>0</v>
      </c>
      <c r="J429" s="297">
        <v>0</v>
      </c>
      <c r="K429" s="297">
        <v>0</v>
      </c>
      <c r="L429" s="297">
        <v>0</v>
      </c>
      <c r="M429" s="297">
        <v>0</v>
      </c>
      <c r="N429" s="298">
        <v>4</v>
      </c>
      <c r="O429" s="298">
        <v>4</v>
      </c>
      <c r="P429" s="298">
        <v>4</v>
      </c>
      <c r="Q429" s="298">
        <v>4</v>
      </c>
      <c r="R429" s="298">
        <v>4</v>
      </c>
      <c r="S429" s="298">
        <v>4</v>
      </c>
      <c r="T429" s="298">
        <v>4</v>
      </c>
      <c r="U429" s="298">
        <v>4</v>
      </c>
      <c r="V429" s="298">
        <v>4</v>
      </c>
      <c r="W429" s="298">
        <v>4</v>
      </c>
      <c r="X429" s="298">
        <v>4</v>
      </c>
      <c r="Y429" s="298">
        <v>4</v>
      </c>
      <c r="Z429" s="298">
        <v>4</v>
      </c>
      <c r="AA429" s="298">
        <v>4</v>
      </c>
      <c r="AB429" s="298">
        <v>4</v>
      </c>
      <c r="AC429" s="298">
        <v>4</v>
      </c>
      <c r="AD429" s="298">
        <v>4</v>
      </c>
      <c r="AE429" s="298">
        <v>4</v>
      </c>
      <c r="AF429" s="298">
        <v>4</v>
      </c>
      <c r="AG429" s="298">
        <v>4</v>
      </c>
      <c r="AH429" s="298">
        <v>4</v>
      </c>
      <c r="AI429" s="298">
        <v>4</v>
      </c>
      <c r="AJ429" s="298">
        <v>4</v>
      </c>
      <c r="AK429" s="298">
        <v>4</v>
      </c>
      <c r="AL429" s="298">
        <v>4</v>
      </c>
      <c r="AM429" s="298">
        <v>4</v>
      </c>
      <c r="AN429" s="298">
        <v>4</v>
      </c>
      <c r="AO429" s="298">
        <v>4</v>
      </c>
      <c r="AP429" s="298">
        <v>4</v>
      </c>
      <c r="AQ429" s="298">
        <v>4</v>
      </c>
      <c r="AR429" s="299">
        <v>4</v>
      </c>
    </row>
    <row r="430" spans="1:44" hidden="1" x14ac:dyDescent="0.2">
      <c r="A430" s="300"/>
      <c r="B430" s="301"/>
      <c r="C430" s="300"/>
      <c r="D430" s="300"/>
      <c r="E430" s="300"/>
      <c r="F430" s="300"/>
      <c r="G430" s="302"/>
      <c r="H430" s="302"/>
      <c r="I430" s="302"/>
      <c r="J430" s="302"/>
      <c r="K430" s="302"/>
      <c r="L430" s="302"/>
      <c r="M430" s="302"/>
      <c r="N430" s="302"/>
      <c r="O430" s="302"/>
      <c r="P430" s="302"/>
      <c r="Q430" s="300"/>
      <c r="R430" s="300"/>
      <c r="S430" s="300"/>
      <c r="T430" s="300"/>
      <c r="U430" s="300"/>
      <c r="V430" s="300"/>
      <c r="W430" s="300"/>
      <c r="X430" s="300"/>
      <c r="Y430" s="300"/>
      <c r="Z430" s="300"/>
      <c r="AA430" s="300"/>
      <c r="AB430" s="300"/>
      <c r="AC430" s="300"/>
      <c r="AD430" s="300"/>
      <c r="AE430" s="300"/>
      <c r="AF430" s="300"/>
      <c r="AG430" s="300"/>
      <c r="AH430" s="300"/>
      <c r="AI430" s="300"/>
      <c r="AJ430" s="300"/>
      <c r="AK430" s="300"/>
      <c r="AL430" s="300"/>
      <c r="AM430" s="300"/>
      <c r="AN430" s="300"/>
      <c r="AO430" s="300"/>
      <c r="AP430" s="300"/>
      <c r="AQ430" s="300"/>
      <c r="AR430" s="303"/>
    </row>
    <row r="431" spans="1:44" hidden="1" x14ac:dyDescent="0.2">
      <c r="A431" s="270"/>
      <c r="B431" s="271"/>
      <c r="C431" s="272" t="s">
        <v>282</v>
      </c>
      <c r="D431" s="272"/>
      <c r="E431" s="272"/>
      <c r="F431" s="272"/>
      <c r="G431" s="272"/>
      <c r="H431" s="272"/>
      <c r="I431" s="272"/>
      <c r="J431" s="272"/>
      <c r="K431" s="272"/>
      <c r="L431" s="272"/>
      <c r="M431" s="272"/>
      <c r="N431" s="272"/>
      <c r="O431" s="272"/>
      <c r="P431" s="272"/>
      <c r="Q431" s="272"/>
      <c r="R431" s="272"/>
      <c r="S431" s="272"/>
      <c r="T431" s="272"/>
      <c r="U431" s="272"/>
      <c r="V431" s="272"/>
      <c r="W431" s="272"/>
      <c r="X431" s="272"/>
      <c r="Y431" s="272"/>
      <c r="Z431" s="272"/>
      <c r="AA431" s="272"/>
      <c r="AB431" s="272"/>
      <c r="AC431" s="272"/>
      <c r="AD431" s="272"/>
      <c r="AE431" s="272"/>
      <c r="AF431" s="272"/>
      <c r="AG431" s="273"/>
      <c r="AH431" s="272"/>
      <c r="AI431" s="274"/>
      <c r="AJ431" s="272"/>
      <c r="AK431" s="272"/>
      <c r="AL431" s="273"/>
      <c r="AM431" s="273"/>
      <c r="AN431" s="273"/>
      <c r="AO431" s="273"/>
      <c r="AP431" s="273"/>
      <c r="AQ431" s="273"/>
      <c r="AR431" s="275"/>
    </row>
    <row r="432" spans="1:44" ht="45" hidden="1" x14ac:dyDescent="0.2">
      <c r="A432" s="276"/>
      <c r="B432" s="277"/>
      <c r="C432" s="278" t="s">
        <v>278</v>
      </c>
      <c r="D432" s="279" t="s">
        <v>279</v>
      </c>
      <c r="E432" s="278"/>
      <c r="F432" s="278"/>
      <c r="G432" s="280">
        <v>2019</v>
      </c>
      <c r="H432" s="280">
        <v>2020</v>
      </c>
      <c r="I432" s="280">
        <v>2021</v>
      </c>
      <c r="J432" s="280">
        <v>2022</v>
      </c>
      <c r="K432" s="280">
        <v>2023</v>
      </c>
      <c r="L432" s="281">
        <v>45352</v>
      </c>
      <c r="M432" s="280">
        <v>2024</v>
      </c>
      <c r="N432" s="278">
        <v>2025</v>
      </c>
      <c r="O432" s="278">
        <v>2026</v>
      </c>
      <c r="P432" s="278">
        <v>2027</v>
      </c>
      <c r="Q432" s="278">
        <v>2028</v>
      </c>
      <c r="R432" s="278">
        <v>2029</v>
      </c>
      <c r="S432" s="278">
        <v>2030</v>
      </c>
      <c r="T432" s="278">
        <v>2031</v>
      </c>
      <c r="U432" s="278">
        <v>2032</v>
      </c>
      <c r="V432" s="278">
        <v>2033</v>
      </c>
      <c r="W432" s="278">
        <v>2034</v>
      </c>
      <c r="X432" s="278">
        <v>2035</v>
      </c>
      <c r="Y432" s="278">
        <v>2036</v>
      </c>
      <c r="Z432" s="278">
        <v>2037</v>
      </c>
      <c r="AA432" s="278">
        <v>2038</v>
      </c>
      <c r="AB432" s="278">
        <v>2039</v>
      </c>
      <c r="AC432" s="278">
        <v>2040</v>
      </c>
      <c r="AD432" s="278">
        <v>2041</v>
      </c>
      <c r="AE432" s="278">
        <v>2042</v>
      </c>
      <c r="AF432" s="278">
        <v>2043</v>
      </c>
      <c r="AG432" s="278">
        <v>2044</v>
      </c>
      <c r="AH432" s="278">
        <v>2045</v>
      </c>
      <c r="AI432" s="278">
        <v>2046</v>
      </c>
      <c r="AJ432" s="278">
        <v>2047</v>
      </c>
      <c r="AK432" s="278">
        <v>2048</v>
      </c>
      <c r="AL432" s="278">
        <v>2049</v>
      </c>
      <c r="AM432" s="278">
        <v>2050</v>
      </c>
      <c r="AN432" s="278">
        <v>2051</v>
      </c>
      <c r="AO432" s="278">
        <v>2052</v>
      </c>
      <c r="AP432" s="278">
        <v>2053</v>
      </c>
      <c r="AQ432" s="278">
        <v>2054</v>
      </c>
      <c r="AR432" s="282">
        <v>2055</v>
      </c>
    </row>
    <row r="433" spans="1:44" hidden="1" x14ac:dyDescent="0.2">
      <c r="A433" s="283"/>
      <c r="B433" s="284"/>
      <c r="C433" s="285"/>
      <c r="D433" s="286"/>
      <c r="E433" s="287"/>
      <c r="F433" s="285"/>
      <c r="G433" s="285" t="s">
        <v>243</v>
      </c>
      <c r="H433" s="285" t="s">
        <v>243</v>
      </c>
      <c r="I433" s="285" t="s">
        <v>243</v>
      </c>
      <c r="J433" s="285" t="s">
        <v>243</v>
      </c>
      <c r="K433" s="285" t="s">
        <v>243</v>
      </c>
      <c r="L433" s="285" t="s">
        <v>244</v>
      </c>
      <c r="M433" s="285" t="s">
        <v>245</v>
      </c>
      <c r="N433" s="285"/>
      <c r="O433" s="285"/>
      <c r="P433" s="285"/>
      <c r="Q433" s="285"/>
      <c r="R433" s="285"/>
      <c r="S433" s="285"/>
      <c r="T433" s="285"/>
      <c r="U433" s="288"/>
      <c r="V433" s="289"/>
      <c r="W433" s="285"/>
      <c r="X433" s="285"/>
      <c r="Y433" s="285"/>
      <c r="Z433" s="285"/>
      <c r="AA433" s="285"/>
      <c r="AB433" s="285"/>
      <c r="AC433" s="285"/>
      <c r="AD433" s="285"/>
      <c r="AE433" s="285"/>
      <c r="AF433" s="285"/>
      <c r="AG433" s="285"/>
      <c r="AH433" s="285"/>
      <c r="AI433" s="285"/>
      <c r="AJ433" s="285"/>
      <c r="AK433" s="285"/>
      <c r="AL433" s="285"/>
      <c r="AM433" s="285"/>
      <c r="AN433" s="285"/>
      <c r="AO433" s="285"/>
      <c r="AP433" s="285"/>
      <c r="AQ433" s="285"/>
      <c r="AR433" s="290"/>
    </row>
    <row r="434" spans="1:44" hidden="1" x14ac:dyDescent="0.2">
      <c r="A434" s="283"/>
      <c r="B434" s="291">
        <v>1</v>
      </c>
      <c r="C434" s="283" t="s">
        <v>220</v>
      </c>
      <c r="D434" s="292" t="s">
        <v>221</v>
      </c>
      <c r="E434" s="283"/>
      <c r="F434" s="283"/>
      <c r="G434" s="293"/>
      <c r="H434" s="293"/>
      <c r="I434" s="293"/>
      <c r="J434" s="293"/>
      <c r="K434" s="293"/>
      <c r="L434" s="293"/>
      <c r="M434" s="293"/>
      <c r="N434" s="293">
        <v>319.72747093023258</v>
      </c>
      <c r="O434" s="293">
        <v>324.83282421722822</v>
      </c>
      <c r="P434" s="293">
        <v>330.01969890777798</v>
      </c>
      <c r="Q434" s="293">
        <v>335.2893967216383</v>
      </c>
      <c r="R434" s="294">
        <v>340.64324016420301</v>
      </c>
      <c r="S434" s="294">
        <v>276.86605828672361</v>
      </c>
      <c r="T434" s="294">
        <v>210.7112336977593</v>
      </c>
      <c r="U434" s="294">
        <v>142.54537785825255</v>
      </c>
      <c r="V434" s="294">
        <v>72.323569532240143</v>
      </c>
      <c r="W434" s="294">
        <v>0</v>
      </c>
      <c r="X434" s="294">
        <v>0</v>
      </c>
      <c r="Y434" s="294">
        <v>0</v>
      </c>
      <c r="Z434" s="294">
        <v>0</v>
      </c>
      <c r="AA434" s="294">
        <v>0</v>
      </c>
      <c r="AB434" s="294">
        <v>0</v>
      </c>
      <c r="AC434" s="294">
        <v>0</v>
      </c>
      <c r="AD434" s="294">
        <v>0</v>
      </c>
      <c r="AE434" s="294">
        <v>0</v>
      </c>
      <c r="AF434" s="294">
        <v>0</v>
      </c>
      <c r="AG434" s="294">
        <v>0</v>
      </c>
      <c r="AH434" s="294">
        <v>0</v>
      </c>
      <c r="AI434" s="294">
        <v>0</v>
      </c>
      <c r="AJ434" s="294">
        <v>0</v>
      </c>
      <c r="AK434" s="294">
        <v>0</v>
      </c>
      <c r="AL434" s="294">
        <v>0</v>
      </c>
      <c r="AM434" s="294">
        <v>0</v>
      </c>
      <c r="AN434" s="294">
        <v>0</v>
      </c>
      <c r="AO434" s="294">
        <v>0</v>
      </c>
      <c r="AP434" s="294">
        <v>0</v>
      </c>
      <c r="AQ434" s="294">
        <v>0</v>
      </c>
      <c r="AR434" s="295">
        <v>0</v>
      </c>
    </row>
    <row r="435" spans="1:44" hidden="1" x14ac:dyDescent="0.2">
      <c r="A435" s="283"/>
      <c r="B435" s="291">
        <v>2</v>
      </c>
      <c r="C435" s="283" t="s">
        <v>222</v>
      </c>
      <c r="D435" s="292" t="s">
        <v>223</v>
      </c>
      <c r="E435" s="283"/>
      <c r="F435" s="283"/>
      <c r="G435" s="293"/>
      <c r="H435" s="293"/>
      <c r="I435" s="293"/>
      <c r="J435" s="293"/>
      <c r="K435" s="293"/>
      <c r="L435" s="293"/>
      <c r="M435" s="293"/>
      <c r="N435" s="293">
        <v>798.96125000000006</v>
      </c>
      <c r="O435" s="293">
        <v>813.07192017928821</v>
      </c>
      <c r="P435" s="293">
        <v>827.44235884455304</v>
      </c>
      <c r="Q435" s="293">
        <v>842.07750837131164</v>
      </c>
      <c r="R435" s="294">
        <v>856.9824082958952</v>
      </c>
      <c r="S435" s="294">
        <v>872.16219728848012</v>
      </c>
      <c r="T435" s="294">
        <v>887.12286539936019</v>
      </c>
      <c r="U435" s="294">
        <v>902.35367229405324</v>
      </c>
      <c r="V435" s="294">
        <v>917.85971292642728</v>
      </c>
      <c r="W435" s="294">
        <v>933.64618245573581</v>
      </c>
      <c r="X435" s="294">
        <v>949.71837829618573</v>
      </c>
      <c r="Y435" s="294">
        <v>965.4595606392578</v>
      </c>
      <c r="Z435" s="294">
        <v>981.47991445336368</v>
      </c>
      <c r="AA435" s="294">
        <v>997.78468863483874</v>
      </c>
      <c r="AB435" s="294">
        <v>1014.3792360779682</v>
      </c>
      <c r="AC435" s="294">
        <v>1031.2690158300084</v>
      </c>
      <c r="AD435" s="294">
        <v>1047.9427481704467</v>
      </c>
      <c r="AE435" s="294">
        <v>1064.9097509158382</v>
      </c>
      <c r="AF435" s="294">
        <v>1082.1755616932626</v>
      </c>
      <c r="AG435" s="294">
        <v>1099.7458290564136</v>
      </c>
      <c r="AH435" s="294">
        <v>1117.6263148136388</v>
      </c>
      <c r="AI435" s="294">
        <v>1135.8228964066104</v>
      </c>
      <c r="AJ435" s="294">
        <v>1154.3415693407667</v>
      </c>
      <c r="AK435" s="294">
        <v>1173.1884496686746</v>
      </c>
      <c r="AL435" s="294">
        <v>1192.3697765274985</v>
      </c>
      <c r="AM435" s="294">
        <v>1211.8919147317899</v>
      </c>
      <c r="AN435" s="294">
        <v>1231.7613574228324</v>
      </c>
      <c r="AO435" s="294">
        <v>1251.9847287758107</v>
      </c>
      <c r="AP435" s="294">
        <v>1272.5687867660999</v>
      </c>
      <c r="AQ435" s="294">
        <v>1293.5204259959983</v>
      </c>
      <c r="AR435" s="295">
        <v>1314.8466805832645</v>
      </c>
    </row>
    <row r="436" spans="1:44" hidden="1" x14ac:dyDescent="0.2">
      <c r="A436" s="283"/>
      <c r="B436" s="291">
        <v>3</v>
      </c>
      <c r="C436" s="283" t="s">
        <v>224</v>
      </c>
      <c r="D436" s="292" t="s">
        <v>225</v>
      </c>
      <c r="E436" s="283"/>
      <c r="F436" s="283"/>
      <c r="G436" s="293"/>
      <c r="H436" s="293"/>
      <c r="I436" s="293"/>
      <c r="J436" s="293"/>
      <c r="K436" s="293"/>
      <c r="L436" s="293"/>
      <c r="M436" s="293"/>
      <c r="N436" s="293">
        <v>0</v>
      </c>
      <c r="O436" s="293">
        <v>0</v>
      </c>
      <c r="P436" s="293">
        <v>0</v>
      </c>
      <c r="Q436" s="293">
        <v>0</v>
      </c>
      <c r="R436" s="294">
        <v>0</v>
      </c>
      <c r="S436" s="294">
        <v>0</v>
      </c>
      <c r="T436" s="294">
        <v>0</v>
      </c>
      <c r="U436" s="294">
        <v>0</v>
      </c>
      <c r="V436" s="294">
        <v>0</v>
      </c>
      <c r="W436" s="294">
        <v>0</v>
      </c>
      <c r="X436" s="294">
        <v>0</v>
      </c>
      <c r="Y436" s="294">
        <v>0</v>
      </c>
      <c r="Z436" s="294">
        <v>0</v>
      </c>
      <c r="AA436" s="294">
        <v>0</v>
      </c>
      <c r="AB436" s="294">
        <v>0</v>
      </c>
      <c r="AC436" s="294">
        <v>0</v>
      </c>
      <c r="AD436" s="294">
        <v>0</v>
      </c>
      <c r="AE436" s="294">
        <v>0</v>
      </c>
      <c r="AF436" s="294">
        <v>0</v>
      </c>
      <c r="AG436" s="294">
        <v>0</v>
      </c>
      <c r="AH436" s="294">
        <v>0</v>
      </c>
      <c r="AI436" s="294">
        <v>0</v>
      </c>
      <c r="AJ436" s="294">
        <v>0</v>
      </c>
      <c r="AK436" s="294">
        <v>0</v>
      </c>
      <c r="AL436" s="294">
        <v>0</v>
      </c>
      <c r="AM436" s="294">
        <v>0</v>
      </c>
      <c r="AN436" s="294">
        <v>0</v>
      </c>
      <c r="AO436" s="294">
        <v>0</v>
      </c>
      <c r="AP436" s="294">
        <v>0</v>
      </c>
      <c r="AQ436" s="294">
        <v>0</v>
      </c>
      <c r="AR436" s="295">
        <v>0</v>
      </c>
    </row>
    <row r="437" spans="1:44" hidden="1" x14ac:dyDescent="0.2">
      <c r="A437" s="283"/>
      <c r="B437" s="291">
        <v>4</v>
      </c>
      <c r="C437" s="283" t="s">
        <v>226</v>
      </c>
      <c r="D437" s="292" t="s">
        <v>227</v>
      </c>
      <c r="E437" s="283"/>
      <c r="F437" s="283"/>
      <c r="G437" s="293"/>
      <c r="H437" s="293"/>
      <c r="I437" s="293"/>
      <c r="J437" s="293"/>
      <c r="K437" s="293"/>
      <c r="L437" s="293"/>
      <c r="M437" s="293"/>
      <c r="N437" s="293">
        <v>3986.1856991002041</v>
      </c>
      <c r="O437" s="293">
        <v>4047.4144698150139</v>
      </c>
      <c r="P437" s="293">
        <v>4109.6088212278664</v>
      </c>
      <c r="Q437" s="293">
        <v>4172.7841110164118</v>
      </c>
      <c r="R437" s="294">
        <v>3473.6524246947961</v>
      </c>
      <c r="S437" s="294">
        <v>2748.0335145639242</v>
      </c>
      <c r="T437" s="294">
        <v>1999.8738523240793</v>
      </c>
      <c r="U437" s="294">
        <v>1228.8308497171097</v>
      </c>
      <c r="V437" s="294">
        <v>839.3082004271547</v>
      </c>
      <c r="W437" s="294">
        <v>437.93342089146211</v>
      </c>
      <c r="X437" s="294">
        <v>441.5122944586177</v>
      </c>
      <c r="Y437" s="294">
        <v>444.92457465161328</v>
      </c>
      <c r="Z437" s="294">
        <v>448.36997230410805</v>
      </c>
      <c r="AA437" s="294">
        <v>451.84886699278229</v>
      </c>
      <c r="AB437" s="294">
        <v>455.36164304417366</v>
      </c>
      <c r="AC437" s="294">
        <v>458.90868959643592</v>
      </c>
      <c r="AD437" s="294">
        <v>462.32012008992928</v>
      </c>
      <c r="AE437" s="294">
        <v>465.76226276313116</v>
      </c>
      <c r="AF437" s="294">
        <v>469.23543812289051</v>
      </c>
      <c r="AG437" s="294">
        <v>472.73997031966604</v>
      </c>
      <c r="AH437" s="294">
        <v>476.2761871906996</v>
      </c>
      <c r="AI437" s="294">
        <v>479.84442030370826</v>
      </c>
      <c r="AJ437" s="294">
        <v>483.44500500110559</v>
      </c>
      <c r="AK437" s="294">
        <v>487.07828044475514</v>
      </c>
      <c r="AL437" s="294">
        <v>490.74458966126514</v>
      </c>
      <c r="AM437" s="294">
        <v>494.44427958782944</v>
      </c>
      <c r="AN437" s="294">
        <v>498.17770111862171</v>
      </c>
      <c r="AO437" s="294">
        <v>501.94520915175076</v>
      </c>
      <c r="AP437" s="294">
        <v>505.74716263678124</v>
      </c>
      <c r="AQ437" s="294">
        <v>509.58392462282939</v>
      </c>
      <c r="AR437" s="295">
        <v>513.45586230723961</v>
      </c>
    </row>
    <row r="438" spans="1:44" hidden="1" x14ac:dyDescent="0.2">
      <c r="A438" s="283"/>
      <c r="B438" s="291">
        <v>5</v>
      </c>
      <c r="C438" s="283" t="s">
        <v>228</v>
      </c>
      <c r="D438" s="292" t="s">
        <v>221</v>
      </c>
      <c r="E438" s="283"/>
      <c r="F438" s="283"/>
      <c r="G438" s="293"/>
      <c r="H438" s="293"/>
      <c r="I438" s="293"/>
      <c r="J438" s="293"/>
      <c r="K438" s="293"/>
      <c r="L438" s="293"/>
      <c r="M438" s="293"/>
      <c r="N438" s="293">
        <v>2210.7291666666665</v>
      </c>
      <c r="O438" s="293">
        <v>2221.7828124999996</v>
      </c>
      <c r="P438" s="293">
        <v>2232.8917265624996</v>
      </c>
      <c r="Q438" s="293">
        <v>2244.0561851953116</v>
      </c>
      <c r="R438" s="294">
        <v>2255.2764661212882</v>
      </c>
      <c r="S438" s="294">
        <v>1813.2422787615151</v>
      </c>
      <c r="T438" s="294">
        <v>1093.3850940931939</v>
      </c>
      <c r="U438" s="294">
        <v>439.5408078254639</v>
      </c>
      <c r="V438" s="294">
        <v>88.347702372918221</v>
      </c>
      <c r="W438" s="294">
        <v>0</v>
      </c>
      <c r="X438" s="294">
        <v>0</v>
      </c>
      <c r="Y438" s="294">
        <v>0</v>
      </c>
      <c r="Z438" s="294">
        <v>0</v>
      </c>
      <c r="AA438" s="294">
        <v>0</v>
      </c>
      <c r="AB438" s="294">
        <v>0</v>
      </c>
      <c r="AC438" s="294">
        <v>0</v>
      </c>
      <c r="AD438" s="294">
        <v>0</v>
      </c>
      <c r="AE438" s="294">
        <v>0</v>
      </c>
      <c r="AF438" s="294">
        <v>0</v>
      </c>
      <c r="AG438" s="294">
        <v>0</v>
      </c>
      <c r="AH438" s="294">
        <v>0</v>
      </c>
      <c r="AI438" s="294">
        <v>0</v>
      </c>
      <c r="AJ438" s="294">
        <v>0</v>
      </c>
      <c r="AK438" s="294">
        <v>0</v>
      </c>
      <c r="AL438" s="294">
        <v>0</v>
      </c>
      <c r="AM438" s="294">
        <v>0</v>
      </c>
      <c r="AN438" s="294">
        <v>0</v>
      </c>
      <c r="AO438" s="294">
        <v>0</v>
      </c>
      <c r="AP438" s="294">
        <v>0</v>
      </c>
      <c r="AQ438" s="294">
        <v>0</v>
      </c>
      <c r="AR438" s="295">
        <v>0</v>
      </c>
    </row>
    <row r="439" spans="1:44" hidden="1" x14ac:dyDescent="0.2">
      <c r="A439" s="283"/>
      <c r="B439" s="291">
        <v>6</v>
      </c>
      <c r="C439" s="283" t="s">
        <v>229</v>
      </c>
      <c r="D439" s="292" t="s">
        <v>230</v>
      </c>
      <c r="E439" s="283"/>
      <c r="F439" s="283"/>
      <c r="G439" s="293"/>
      <c r="H439" s="293"/>
      <c r="I439" s="293"/>
      <c r="J439" s="293"/>
      <c r="K439" s="293"/>
      <c r="L439" s="293"/>
      <c r="M439" s="293"/>
      <c r="N439" s="293">
        <v>867.80275993209875</v>
      </c>
      <c r="O439" s="293">
        <v>878.93007824447534</v>
      </c>
      <c r="P439" s="293">
        <v>888.04450425137668</v>
      </c>
      <c r="Q439" s="293">
        <v>898.15949835386812</v>
      </c>
      <c r="R439" s="294">
        <v>908.27450863242757</v>
      </c>
      <c r="S439" s="294">
        <v>919.39008716793546</v>
      </c>
      <c r="T439" s="294">
        <v>930.50568204167632</v>
      </c>
      <c r="U439" s="294">
        <v>939.64379797731681</v>
      </c>
      <c r="V439" s="294">
        <v>949.77067809399352</v>
      </c>
      <c r="W439" s="294">
        <v>959.89757479520426</v>
      </c>
      <c r="X439" s="294">
        <v>970.02448816387164</v>
      </c>
      <c r="Y439" s="294">
        <v>981.17557892530829</v>
      </c>
      <c r="Z439" s="294">
        <v>991.3025258793175</v>
      </c>
      <c r="AA439" s="294">
        <v>1000.4525463940228</v>
      </c>
      <c r="AB439" s="294">
        <v>1010.5913315910545</v>
      </c>
      <c r="AC439" s="294">
        <v>1020.7537425183925</v>
      </c>
      <c r="AD439" s="294">
        <v>1030.916170619503</v>
      </c>
      <c r="AE439" s="294">
        <v>1038.0651556592672</v>
      </c>
      <c r="AF439" s="294">
        <v>1050.2287223659587</v>
      </c>
      <c r="AG439" s="294">
        <v>1060.3675938633439</v>
      </c>
      <c r="AH439" s="294">
        <v>1069.5649524855003</v>
      </c>
      <c r="AI439" s="294">
        <v>1080.7398240731129</v>
      </c>
      <c r="AJ439" s="294">
        <v>1090.9141613561944</v>
      </c>
      <c r="AK439" s="294">
        <v>1100.09976874421</v>
      </c>
      <c r="AL439" s="294">
        <v>1111.2864980050915</v>
      </c>
      <c r="AM439" s="294">
        <v>1121.4726932282035</v>
      </c>
      <c r="AN439" s="294">
        <v>1131.6825151453322</v>
      </c>
      <c r="AO439" s="294">
        <v>1144.8822068837749</v>
      </c>
      <c r="AP439" s="294">
        <v>1155.0802608552308</v>
      </c>
      <c r="AQ439" s="294">
        <v>1166.1264099114164</v>
      </c>
      <c r="AR439" s="295">
        <v>1178.2664898844303</v>
      </c>
    </row>
    <row r="440" spans="1:44" hidden="1" x14ac:dyDescent="0.2">
      <c r="A440" s="283"/>
      <c r="B440" s="291">
        <v>7</v>
      </c>
      <c r="C440" s="283" t="s">
        <v>231</v>
      </c>
      <c r="D440" s="292" t="s">
        <v>225</v>
      </c>
      <c r="E440" s="283"/>
      <c r="F440" s="283"/>
      <c r="G440" s="293"/>
      <c r="H440" s="293"/>
      <c r="I440" s="293"/>
      <c r="J440" s="293"/>
      <c r="K440" s="293"/>
      <c r="L440" s="293"/>
      <c r="M440" s="293"/>
      <c r="N440" s="293">
        <v>0</v>
      </c>
      <c r="O440" s="293">
        <v>0</v>
      </c>
      <c r="P440" s="293">
        <v>0</v>
      </c>
      <c r="Q440" s="293">
        <v>0</v>
      </c>
      <c r="R440" s="294">
        <v>0</v>
      </c>
      <c r="S440" s="294">
        <v>0</v>
      </c>
      <c r="T440" s="294">
        <v>0</v>
      </c>
      <c r="U440" s="294">
        <v>0</v>
      </c>
      <c r="V440" s="294">
        <v>0</v>
      </c>
      <c r="W440" s="294">
        <v>0</v>
      </c>
      <c r="X440" s="294">
        <v>0</v>
      </c>
      <c r="Y440" s="294">
        <v>0</v>
      </c>
      <c r="Z440" s="294">
        <v>0</v>
      </c>
      <c r="AA440" s="294">
        <v>0</v>
      </c>
      <c r="AB440" s="294">
        <v>0</v>
      </c>
      <c r="AC440" s="294">
        <v>0</v>
      </c>
      <c r="AD440" s="294">
        <v>0</v>
      </c>
      <c r="AE440" s="294">
        <v>0</v>
      </c>
      <c r="AF440" s="294">
        <v>0</v>
      </c>
      <c r="AG440" s="294">
        <v>0</v>
      </c>
      <c r="AH440" s="294">
        <v>0</v>
      </c>
      <c r="AI440" s="294">
        <v>0</v>
      </c>
      <c r="AJ440" s="294">
        <v>0</v>
      </c>
      <c r="AK440" s="294">
        <v>0</v>
      </c>
      <c r="AL440" s="294">
        <v>0</v>
      </c>
      <c r="AM440" s="294">
        <v>0</v>
      </c>
      <c r="AN440" s="294">
        <v>0</v>
      </c>
      <c r="AO440" s="294">
        <v>0</v>
      </c>
      <c r="AP440" s="294">
        <v>0</v>
      </c>
      <c r="AQ440" s="294">
        <v>0</v>
      </c>
      <c r="AR440" s="295">
        <v>0</v>
      </c>
    </row>
    <row r="441" spans="1:44" hidden="1" x14ac:dyDescent="0.2">
      <c r="A441" s="283"/>
      <c r="B441" s="291">
        <v>8</v>
      </c>
      <c r="C441" s="283" t="s">
        <v>232</v>
      </c>
      <c r="D441" s="292" t="s">
        <v>233</v>
      </c>
      <c r="E441" s="283"/>
      <c r="F441" s="283"/>
      <c r="G441" s="293"/>
      <c r="H441" s="293"/>
      <c r="I441" s="293"/>
      <c r="J441" s="293"/>
      <c r="K441" s="293"/>
      <c r="L441" s="293"/>
      <c r="M441" s="293"/>
      <c r="N441" s="293">
        <v>15772.369949381538</v>
      </c>
      <c r="O441" s="293">
        <v>16024.184432653132</v>
      </c>
      <c r="P441" s="293">
        <v>16280.021731694225</v>
      </c>
      <c r="Q441" s="293">
        <v>16539.946240117413</v>
      </c>
      <c r="R441" s="294">
        <v>16799.083931541703</v>
      </c>
      <c r="S441" s="294">
        <v>17067.301351258153</v>
      </c>
      <c r="T441" s="294">
        <v>17318.931362554442</v>
      </c>
      <c r="U441" s="294">
        <v>17574.274419547328</v>
      </c>
      <c r="V441" s="294">
        <v>17833.38551104725</v>
      </c>
      <c r="W441" s="294">
        <v>18096.320457172384</v>
      </c>
      <c r="X441" s="294">
        <v>18363.135923364156</v>
      </c>
      <c r="Y441" s="294">
        <v>18607.878658364167</v>
      </c>
      <c r="Z441" s="294">
        <v>18855.887659810462</v>
      </c>
      <c r="AA441" s="294">
        <v>19107.20683056776</v>
      </c>
      <c r="AB441" s="294">
        <v>19361.880690213562</v>
      </c>
      <c r="AC441" s="294">
        <v>20674.401800669908</v>
      </c>
      <c r="AD441" s="294">
        <v>20927.204182469039</v>
      </c>
      <c r="AE441" s="294">
        <v>21183.104058990386</v>
      </c>
      <c r="AF441" s="294">
        <v>21442.13986767731</v>
      </c>
      <c r="AG441" s="294">
        <v>21704.350564313998</v>
      </c>
      <c r="AH441" s="294">
        <v>21969.775633516332</v>
      </c>
      <c r="AI441" s="294">
        <v>22238.455099708372</v>
      </c>
      <c r="AJ441" s="294">
        <v>22510.429538620676</v>
      </c>
      <c r="AK441" s="294">
        <v>22785.740089350831</v>
      </c>
      <c r="AL441" s="294">
        <v>23064.428467028894</v>
      </c>
      <c r="AM441" s="294">
        <v>23346.536976134634</v>
      </c>
      <c r="AN441" s="294">
        <v>23632.108524517367</v>
      </c>
      <c r="AO441" s="294">
        <v>23921.186638173473</v>
      </c>
      <c r="AP441" s="294">
        <v>24213.815476841093</v>
      </c>
      <c r="AQ441" s="294">
        <v>24510.039850477104</v>
      </c>
      <c r="AR441" s="295">
        <v>24809.740416213404</v>
      </c>
    </row>
    <row r="442" spans="1:44" ht="17" hidden="1" thickBot="1" x14ac:dyDescent="0.25">
      <c r="B442" s="305"/>
      <c r="C442" s="306" t="s">
        <v>84</v>
      </c>
      <c r="D442" s="307"/>
      <c r="E442" s="306"/>
      <c r="F442" s="306"/>
      <c r="G442" s="308">
        <v>0</v>
      </c>
      <c r="H442" s="308">
        <v>0</v>
      </c>
      <c r="I442" s="308">
        <v>0</v>
      </c>
      <c r="J442" s="308">
        <v>0</v>
      </c>
      <c r="K442" s="308">
        <v>0</v>
      </c>
      <c r="L442" s="308">
        <v>0</v>
      </c>
      <c r="M442" s="308">
        <v>0</v>
      </c>
      <c r="N442" s="309">
        <v>23955.776296010739</v>
      </c>
      <c r="O442" s="309">
        <v>24310.216537609136</v>
      </c>
      <c r="P442" s="309">
        <v>24668.0288414883</v>
      </c>
      <c r="Q442" s="309">
        <v>25032.312939775955</v>
      </c>
      <c r="R442" s="309">
        <v>24633.912979450313</v>
      </c>
      <c r="S442" s="309">
        <v>23696.995487326731</v>
      </c>
      <c r="T442" s="309">
        <v>22440.530090110511</v>
      </c>
      <c r="U442" s="309">
        <v>21227.188925219525</v>
      </c>
      <c r="V442" s="309">
        <v>20700.995374399983</v>
      </c>
      <c r="W442" s="309">
        <v>20427.797635314786</v>
      </c>
      <c r="X442" s="309">
        <v>20724.39108428283</v>
      </c>
      <c r="Y442" s="309">
        <v>20999.438372580345</v>
      </c>
      <c r="Z442" s="309">
        <v>21277.040072447249</v>
      </c>
      <c r="AA442" s="309">
        <v>21557.292932589404</v>
      </c>
      <c r="AB442" s="309">
        <v>21842.212900926759</v>
      </c>
      <c r="AC442" s="309">
        <v>23185.333248614745</v>
      </c>
      <c r="AD442" s="309">
        <v>23468.383221348919</v>
      </c>
      <c r="AE442" s="309">
        <v>23751.841228328623</v>
      </c>
      <c r="AF442" s="309">
        <v>24043.77958985942</v>
      </c>
      <c r="AG442" s="309">
        <v>24337.203957553422</v>
      </c>
      <c r="AH442" s="309">
        <v>24633.243088006173</v>
      </c>
      <c r="AI442" s="309">
        <v>24934.862240491802</v>
      </c>
      <c r="AJ442" s="309">
        <v>25239.130274318741</v>
      </c>
      <c r="AK442" s="309">
        <v>25546.106588208469</v>
      </c>
      <c r="AL442" s="309">
        <v>25858.829331222751</v>
      </c>
      <c r="AM442" s="309">
        <v>26174.345863682458</v>
      </c>
      <c r="AN442" s="309">
        <v>26493.730098204152</v>
      </c>
      <c r="AO442" s="309">
        <v>26819.998782984811</v>
      </c>
      <c r="AP442" s="309">
        <v>27147.211687099203</v>
      </c>
      <c r="AQ442" s="309">
        <v>27479.270611007349</v>
      </c>
      <c r="AR442" s="310">
        <v>27816.309448988337</v>
      </c>
    </row>
    <row r="443" spans="1:44" hidden="1" x14ac:dyDescent="0.2">
      <c r="B443" s="154"/>
      <c r="D443" s="155"/>
      <c r="G443" s="154"/>
      <c r="H443" s="154"/>
      <c r="I443" s="154"/>
      <c r="J443" s="154"/>
      <c r="K443" s="154"/>
      <c r="L443" s="206"/>
      <c r="W443" s="172"/>
    </row>
    <row r="444" spans="1:44" hidden="1" x14ac:dyDescent="0.2">
      <c r="B444" s="263"/>
      <c r="C444" s="264" t="s">
        <v>283</v>
      </c>
      <c r="D444" s="265"/>
      <c r="E444" s="266"/>
      <c r="F444" s="266"/>
      <c r="G444" s="267"/>
      <c r="H444" s="267"/>
      <c r="I444" s="267"/>
      <c r="J444" s="267"/>
      <c r="K444" s="267"/>
      <c r="L444" s="268"/>
      <c r="M444" s="267"/>
      <c r="N444" s="266"/>
      <c r="O444" s="266"/>
      <c r="P444" s="266"/>
      <c r="Q444" s="266"/>
      <c r="R444" s="266"/>
      <c r="S444" s="266"/>
      <c r="T444" s="266"/>
      <c r="U444" s="266"/>
      <c r="V444" s="266"/>
      <c r="W444" s="266"/>
      <c r="X444" s="266"/>
      <c r="Y444" s="266"/>
      <c r="Z444" s="266"/>
      <c r="AA444" s="266"/>
      <c r="AB444" s="266"/>
      <c r="AC444" s="266"/>
      <c r="AD444" s="266"/>
      <c r="AE444" s="266"/>
      <c r="AF444" s="266"/>
      <c r="AG444" s="266"/>
      <c r="AH444" s="266"/>
      <c r="AI444" s="266"/>
      <c r="AJ444" s="266"/>
      <c r="AK444" s="266"/>
      <c r="AL444" s="266"/>
      <c r="AM444" s="266"/>
      <c r="AN444" s="266"/>
      <c r="AO444" s="266"/>
      <c r="AP444" s="266"/>
      <c r="AQ444" s="266"/>
      <c r="AR444" s="269"/>
    </row>
    <row r="445" spans="1:44" hidden="1" x14ac:dyDescent="0.2">
      <c r="A445" s="270"/>
      <c r="B445" s="271"/>
      <c r="C445" s="272" t="s">
        <v>284</v>
      </c>
      <c r="D445" s="272"/>
      <c r="E445" s="272"/>
      <c r="F445" s="272"/>
      <c r="G445" s="272"/>
      <c r="H445" s="272"/>
      <c r="I445" s="272"/>
      <c r="J445" s="272"/>
      <c r="K445" s="272"/>
      <c r="L445" s="272"/>
      <c r="M445" s="272"/>
      <c r="N445" s="272"/>
      <c r="O445" s="272"/>
      <c r="P445" s="272"/>
      <c r="Q445" s="272"/>
      <c r="R445" s="272"/>
      <c r="S445" s="272"/>
      <c r="T445" s="272"/>
      <c r="U445" s="272"/>
      <c r="V445" s="272"/>
      <c r="W445" s="272"/>
      <c r="X445" s="272"/>
      <c r="Y445" s="272"/>
      <c r="Z445" s="272"/>
      <c r="AA445" s="272"/>
      <c r="AB445" s="272"/>
      <c r="AC445" s="272"/>
      <c r="AD445" s="272"/>
      <c r="AE445" s="272"/>
      <c r="AF445" s="272"/>
      <c r="AG445" s="273"/>
      <c r="AH445" s="272"/>
      <c r="AI445" s="274"/>
      <c r="AJ445" s="272"/>
      <c r="AK445" s="272"/>
      <c r="AL445" s="273"/>
      <c r="AM445" s="273"/>
      <c r="AN445" s="273"/>
      <c r="AO445" s="273"/>
      <c r="AP445" s="273"/>
      <c r="AQ445" s="273"/>
      <c r="AR445" s="275"/>
    </row>
    <row r="446" spans="1:44" ht="45" hidden="1" x14ac:dyDescent="0.2">
      <c r="A446" s="276"/>
      <c r="B446" s="277"/>
      <c r="C446" s="278" t="s">
        <v>278</v>
      </c>
      <c r="D446" s="279" t="s">
        <v>279</v>
      </c>
      <c r="E446" s="278"/>
      <c r="F446" s="278"/>
      <c r="G446" s="280">
        <v>2019</v>
      </c>
      <c r="H446" s="280">
        <v>2020</v>
      </c>
      <c r="I446" s="280">
        <v>2021</v>
      </c>
      <c r="J446" s="280">
        <v>2022</v>
      </c>
      <c r="K446" s="280">
        <v>2023</v>
      </c>
      <c r="L446" s="281">
        <v>45352</v>
      </c>
      <c r="M446" s="280">
        <v>2024</v>
      </c>
      <c r="N446" s="278">
        <v>2025</v>
      </c>
      <c r="O446" s="278">
        <v>2026</v>
      </c>
      <c r="P446" s="278">
        <v>2027</v>
      </c>
      <c r="Q446" s="278">
        <v>2028</v>
      </c>
      <c r="R446" s="278">
        <v>2029</v>
      </c>
      <c r="S446" s="278">
        <v>2030</v>
      </c>
      <c r="T446" s="278">
        <v>2031</v>
      </c>
      <c r="U446" s="278">
        <v>2032</v>
      </c>
      <c r="V446" s="278">
        <v>2033</v>
      </c>
      <c r="W446" s="278">
        <v>2034</v>
      </c>
      <c r="X446" s="278">
        <v>2035</v>
      </c>
      <c r="Y446" s="278">
        <v>2036</v>
      </c>
      <c r="Z446" s="278">
        <v>2037</v>
      </c>
      <c r="AA446" s="278">
        <v>2038</v>
      </c>
      <c r="AB446" s="278">
        <v>2039</v>
      </c>
      <c r="AC446" s="278">
        <v>2040</v>
      </c>
      <c r="AD446" s="278">
        <v>2041</v>
      </c>
      <c r="AE446" s="278">
        <v>2042</v>
      </c>
      <c r="AF446" s="278">
        <v>2043</v>
      </c>
      <c r="AG446" s="278">
        <v>2044</v>
      </c>
      <c r="AH446" s="278">
        <v>2045</v>
      </c>
      <c r="AI446" s="278">
        <v>2046</v>
      </c>
      <c r="AJ446" s="278">
        <v>2047</v>
      </c>
      <c r="AK446" s="278">
        <v>2048</v>
      </c>
      <c r="AL446" s="278">
        <v>2049</v>
      </c>
      <c r="AM446" s="278">
        <v>2050</v>
      </c>
      <c r="AN446" s="278">
        <v>2051</v>
      </c>
      <c r="AO446" s="278">
        <v>2052</v>
      </c>
      <c r="AP446" s="278">
        <v>2053</v>
      </c>
      <c r="AQ446" s="278">
        <v>2054</v>
      </c>
      <c r="AR446" s="282">
        <v>2055</v>
      </c>
    </row>
    <row r="447" spans="1:44" hidden="1" x14ac:dyDescent="0.2">
      <c r="A447" s="283"/>
      <c r="B447" s="284"/>
      <c r="C447" s="285"/>
      <c r="D447" s="286"/>
      <c r="E447" s="287"/>
      <c r="F447" s="285"/>
      <c r="G447" s="285" t="s">
        <v>243</v>
      </c>
      <c r="H447" s="285" t="s">
        <v>243</v>
      </c>
      <c r="I447" s="285" t="s">
        <v>243</v>
      </c>
      <c r="J447" s="285" t="s">
        <v>243</v>
      </c>
      <c r="K447" s="285" t="s">
        <v>243</v>
      </c>
      <c r="L447" s="285" t="s">
        <v>244</v>
      </c>
      <c r="M447" s="285" t="s">
        <v>245</v>
      </c>
      <c r="N447" s="285"/>
      <c r="O447" s="285"/>
      <c r="P447" s="285"/>
      <c r="Q447" s="285"/>
      <c r="R447" s="285"/>
      <c r="S447" s="285"/>
      <c r="T447" s="285"/>
      <c r="U447" s="288"/>
      <c r="V447" s="289"/>
      <c r="W447" s="285"/>
      <c r="X447" s="285"/>
      <c r="Y447" s="285"/>
      <c r="Z447" s="285"/>
      <c r="AA447" s="285"/>
      <c r="AB447" s="285"/>
      <c r="AC447" s="285"/>
      <c r="AD447" s="285"/>
      <c r="AE447" s="285"/>
      <c r="AF447" s="285"/>
      <c r="AG447" s="285"/>
      <c r="AH447" s="285"/>
      <c r="AI447" s="285"/>
      <c r="AJ447" s="285"/>
      <c r="AK447" s="285"/>
      <c r="AL447" s="285"/>
      <c r="AM447" s="285"/>
      <c r="AN447" s="285"/>
      <c r="AO447" s="285"/>
      <c r="AP447" s="285"/>
      <c r="AQ447" s="285"/>
      <c r="AR447" s="290"/>
    </row>
    <row r="448" spans="1:44" hidden="1" x14ac:dyDescent="0.2">
      <c r="A448" s="283"/>
      <c r="B448" s="291">
        <v>1</v>
      </c>
      <c r="C448" s="283" t="s">
        <v>220</v>
      </c>
      <c r="D448" s="292" t="s">
        <v>221</v>
      </c>
      <c r="E448" s="283"/>
      <c r="F448" s="283"/>
      <c r="G448" s="293"/>
      <c r="H448" s="293"/>
      <c r="I448" s="293"/>
      <c r="J448" s="293"/>
      <c r="K448" s="293"/>
      <c r="L448" s="293"/>
      <c r="M448" s="293"/>
      <c r="N448" s="293">
        <v>49056.366869550991</v>
      </c>
      <c r="O448" s="293">
        <v>50088.888954267095</v>
      </c>
      <c r="P448" s="293">
        <v>51143.143220215883</v>
      </c>
      <c r="Q448" s="293">
        <v>52219.58707911583</v>
      </c>
      <c r="R448" s="294">
        <v>53318.687570135051</v>
      </c>
      <c r="S448" s="294">
        <v>43552.737250021302</v>
      </c>
      <c r="T448" s="294">
        <v>34140.560909721302</v>
      </c>
      <c r="U448" s="294">
        <v>23788.843346690919</v>
      </c>
      <c r="V448" s="294">
        <v>12431.893018758117</v>
      </c>
      <c r="W448" s="294">
        <v>0</v>
      </c>
      <c r="X448" s="294">
        <v>0</v>
      </c>
      <c r="Y448" s="294">
        <v>0</v>
      </c>
      <c r="Z448" s="294">
        <v>0</v>
      </c>
      <c r="AA448" s="294">
        <v>0</v>
      </c>
      <c r="AB448" s="294">
        <v>0</v>
      </c>
      <c r="AC448" s="294">
        <v>0</v>
      </c>
      <c r="AD448" s="294">
        <v>0</v>
      </c>
      <c r="AE448" s="294">
        <v>0</v>
      </c>
      <c r="AF448" s="294">
        <v>0</v>
      </c>
      <c r="AG448" s="294">
        <v>0</v>
      </c>
      <c r="AH448" s="294">
        <v>0</v>
      </c>
      <c r="AI448" s="294">
        <v>0</v>
      </c>
      <c r="AJ448" s="294">
        <v>0</v>
      </c>
      <c r="AK448" s="294">
        <v>0</v>
      </c>
      <c r="AL448" s="294">
        <v>0</v>
      </c>
      <c r="AM448" s="294">
        <v>0</v>
      </c>
      <c r="AN448" s="294">
        <v>0</v>
      </c>
      <c r="AO448" s="294">
        <v>0</v>
      </c>
      <c r="AP448" s="294">
        <v>0</v>
      </c>
      <c r="AQ448" s="294">
        <v>0</v>
      </c>
      <c r="AR448" s="295">
        <v>0</v>
      </c>
    </row>
    <row r="449" spans="1:44" hidden="1" x14ac:dyDescent="0.2">
      <c r="A449" s="283"/>
      <c r="B449" s="291">
        <v>2</v>
      </c>
      <c r="C449" s="283" t="s">
        <v>222</v>
      </c>
      <c r="D449" s="292" t="s">
        <v>223</v>
      </c>
      <c r="E449" s="283"/>
      <c r="F449" s="283"/>
      <c r="G449" s="293"/>
      <c r="H449" s="293"/>
      <c r="I449" s="293"/>
      <c r="J449" s="293"/>
      <c r="K449" s="293"/>
      <c r="L449" s="293"/>
      <c r="M449" s="293"/>
      <c r="N449" s="293">
        <v>177147.67070646741</v>
      </c>
      <c r="O449" s="293">
        <v>180732.82035994853</v>
      </c>
      <c r="P449" s="293">
        <v>184391.81241913143</v>
      </c>
      <c r="Q449" s="293">
        <v>188126.19197716084</v>
      </c>
      <c r="R449" s="294">
        <v>191937.53692482843</v>
      </c>
      <c r="S449" s="294">
        <v>195827.45865609715</v>
      </c>
      <c r="T449" s="294">
        <v>201410.68286749246</v>
      </c>
      <c r="U449" s="294">
        <v>207182.65162552672</v>
      </c>
      <c r="V449" s="294">
        <v>213150.62365652167</v>
      </c>
      <c r="W449" s="294">
        <v>219322.15965497025</v>
      </c>
      <c r="X449" s="294">
        <v>225705.13538240333</v>
      </c>
      <c r="Y449" s="294">
        <v>230942.55230300367</v>
      </c>
      <c r="Z449" s="294">
        <v>234979.72815165491</v>
      </c>
      <c r="AA449" s="294">
        <v>239091.35527832669</v>
      </c>
      <c r="AB449" s="294">
        <v>243278.87797846121</v>
      </c>
      <c r="AC449" s="294">
        <v>247543.76985494117</v>
      </c>
      <c r="AD449" s="294">
        <v>251787.92765852046</v>
      </c>
      <c r="AE449" s="294">
        <v>256109.94693835892</v>
      </c>
      <c r="AF449" s="294">
        <v>260511.3441688384</v>
      </c>
      <c r="AG449" s="294">
        <v>264993.66685224033</v>
      </c>
      <c r="AH449" s="294">
        <v>269558.49417879933</v>
      </c>
      <c r="AI449" s="294">
        <v>274207.43770123221</v>
      </c>
      <c r="AJ449" s="294">
        <v>278942.14202406415</v>
      </c>
      <c r="AK449" s="294">
        <v>283764.28550808679</v>
      </c>
      <c r="AL449" s="294">
        <v>288675.58099028678</v>
      </c>
      <c r="AM449" s="294">
        <v>293677.77651959338</v>
      </c>
      <c r="AN449" s="294">
        <v>298772.65610880067</v>
      </c>
      <c r="AO449" s="294">
        <v>303962.04050302866</v>
      </c>
      <c r="AP449" s="294">
        <v>309247.78796509473</v>
      </c>
      <c r="AQ449" s="294">
        <v>314631.79507817741</v>
      </c>
      <c r="AR449" s="295">
        <v>320115.99756616156</v>
      </c>
    </row>
    <row r="450" spans="1:44" hidden="1" x14ac:dyDescent="0.2">
      <c r="A450" s="283"/>
      <c r="B450" s="291">
        <v>3</v>
      </c>
      <c r="C450" s="283" t="s">
        <v>224</v>
      </c>
      <c r="D450" s="292" t="s">
        <v>225</v>
      </c>
      <c r="E450" s="283"/>
      <c r="F450" s="283"/>
      <c r="G450" s="293"/>
      <c r="H450" s="293"/>
      <c r="I450" s="293"/>
      <c r="J450" s="293"/>
      <c r="K450" s="293"/>
      <c r="L450" s="293"/>
      <c r="M450" s="293"/>
      <c r="N450" s="293">
        <v>0</v>
      </c>
      <c r="O450" s="293">
        <v>0</v>
      </c>
      <c r="P450" s="293">
        <v>0</v>
      </c>
      <c r="Q450" s="293">
        <v>0</v>
      </c>
      <c r="R450" s="294">
        <v>0</v>
      </c>
      <c r="S450" s="294">
        <v>0</v>
      </c>
      <c r="T450" s="294">
        <v>0</v>
      </c>
      <c r="U450" s="294">
        <v>0</v>
      </c>
      <c r="V450" s="294">
        <v>0</v>
      </c>
      <c r="W450" s="294">
        <v>0</v>
      </c>
      <c r="X450" s="294">
        <v>0</v>
      </c>
      <c r="Y450" s="294">
        <v>0</v>
      </c>
      <c r="Z450" s="294">
        <v>0</v>
      </c>
      <c r="AA450" s="294">
        <v>0</v>
      </c>
      <c r="AB450" s="294">
        <v>0</v>
      </c>
      <c r="AC450" s="294">
        <v>0</v>
      </c>
      <c r="AD450" s="294">
        <v>0</v>
      </c>
      <c r="AE450" s="294">
        <v>0</v>
      </c>
      <c r="AF450" s="294">
        <v>0</v>
      </c>
      <c r="AG450" s="294">
        <v>0</v>
      </c>
      <c r="AH450" s="294">
        <v>0</v>
      </c>
      <c r="AI450" s="294">
        <v>0</v>
      </c>
      <c r="AJ450" s="294">
        <v>0</v>
      </c>
      <c r="AK450" s="294">
        <v>0</v>
      </c>
      <c r="AL450" s="294">
        <v>0</v>
      </c>
      <c r="AM450" s="294">
        <v>0</v>
      </c>
      <c r="AN450" s="294">
        <v>0</v>
      </c>
      <c r="AO450" s="294">
        <v>0</v>
      </c>
      <c r="AP450" s="294">
        <v>0</v>
      </c>
      <c r="AQ450" s="294">
        <v>0</v>
      </c>
      <c r="AR450" s="295">
        <v>0</v>
      </c>
    </row>
    <row r="451" spans="1:44" hidden="1" x14ac:dyDescent="0.2">
      <c r="A451" s="283"/>
      <c r="B451" s="291">
        <v>4</v>
      </c>
      <c r="C451" s="283" t="s">
        <v>226</v>
      </c>
      <c r="D451" s="292" t="s">
        <v>227</v>
      </c>
      <c r="E451" s="283"/>
      <c r="F451" s="283"/>
      <c r="G451" s="293"/>
      <c r="H451" s="293"/>
      <c r="I451" s="293"/>
      <c r="J451" s="293"/>
      <c r="K451" s="293"/>
      <c r="L451" s="293"/>
      <c r="M451" s="293"/>
      <c r="N451" s="293">
        <v>435955.56541867851</v>
      </c>
      <c r="O451" s="293">
        <v>446777.22609790298</v>
      </c>
      <c r="P451" s="293">
        <v>457876.74889937893</v>
      </c>
      <c r="Q451" s="293">
        <v>469261.33604612335</v>
      </c>
      <c r="R451" s="294">
        <v>393843.11603940628</v>
      </c>
      <c r="S451" s="294">
        <v>324421.06741316721</v>
      </c>
      <c r="T451" s="294">
        <v>244287.95916310322</v>
      </c>
      <c r="U451" s="294">
        <v>152374.97042744598</v>
      </c>
      <c r="V451" s="294">
        <v>103641.64728428164</v>
      </c>
      <c r="W451" s="294">
        <v>47995.920018531921</v>
      </c>
      <c r="X451" s="294">
        <v>48515.796936729035</v>
      </c>
      <c r="Y451" s="294">
        <v>49001.102649259818</v>
      </c>
      <c r="Z451" s="294">
        <v>49492.06986502673</v>
      </c>
      <c r="AA451" s="294">
        <v>49988.770006126797</v>
      </c>
      <c r="AB451" s="294">
        <v>50491.275426383239</v>
      </c>
      <c r="AC451" s="294">
        <v>50999.659423662255</v>
      </c>
      <c r="AD451" s="294">
        <v>51479.688122710169</v>
      </c>
      <c r="AE451" s="294">
        <v>51964.868180141864</v>
      </c>
      <c r="AF451" s="294">
        <v>52455.258989019305</v>
      </c>
      <c r="AG451" s="294">
        <v>52950.920650605738</v>
      </c>
      <c r="AH451" s="294">
        <v>53451.91398293458</v>
      </c>
      <c r="AI451" s="294">
        <v>53958.300529482338</v>
      </c>
      <c r="AJ451" s="294">
        <v>54470.142567947405</v>
      </c>
      <c r="AK451" s="294">
        <v>54987.503119135545</v>
      </c>
      <c r="AL451" s="294">
        <v>55510.445955953619</v>
      </c>
      <c r="AM451" s="294">
        <v>56039.035612512787</v>
      </c>
      <c r="AN451" s="294">
        <v>56573.337393342619</v>
      </c>
      <c r="AO451" s="294">
        <v>57113.417382717264</v>
      </c>
      <c r="AP451" s="294">
        <v>57659.342454095327</v>
      </c>
      <c r="AQ451" s="294">
        <v>58211.180279674489</v>
      </c>
      <c r="AR451" s="295">
        <v>58768.999340062808</v>
      </c>
    </row>
    <row r="452" spans="1:44" hidden="1" x14ac:dyDescent="0.2">
      <c r="A452" s="283"/>
      <c r="B452" s="291">
        <v>5</v>
      </c>
      <c r="C452" s="283" t="s">
        <v>228</v>
      </c>
      <c r="D452" s="292" t="s">
        <v>221</v>
      </c>
      <c r="E452" s="283"/>
      <c r="F452" s="283"/>
      <c r="G452" s="293"/>
      <c r="H452" s="293"/>
      <c r="I452" s="293"/>
      <c r="J452" s="293"/>
      <c r="K452" s="293"/>
      <c r="L452" s="293"/>
      <c r="M452" s="293"/>
      <c r="N452" s="293">
        <v>631557.08543948317</v>
      </c>
      <c r="O452" s="293">
        <v>634714.87086668052</v>
      </c>
      <c r="P452" s="293">
        <v>637888.44522101386</v>
      </c>
      <c r="Q452" s="293">
        <v>641077.88744711876</v>
      </c>
      <c r="R452" s="294">
        <v>644283.27688435442</v>
      </c>
      <c r="S452" s="294">
        <v>518003.75461502071</v>
      </c>
      <c r="T452" s="294">
        <v>312356.26403285761</v>
      </c>
      <c r="U452" s="294">
        <v>125567.21814120877</v>
      </c>
      <c r="V452" s="294">
        <v>25239.010846382949</v>
      </c>
      <c r="W452" s="294">
        <v>0</v>
      </c>
      <c r="X452" s="294">
        <v>0</v>
      </c>
      <c r="Y452" s="294">
        <v>0</v>
      </c>
      <c r="Z452" s="294">
        <v>0</v>
      </c>
      <c r="AA452" s="294">
        <v>0</v>
      </c>
      <c r="AB452" s="294">
        <v>0</v>
      </c>
      <c r="AC452" s="294">
        <v>0</v>
      </c>
      <c r="AD452" s="294">
        <v>0</v>
      </c>
      <c r="AE452" s="294">
        <v>0</v>
      </c>
      <c r="AF452" s="294">
        <v>0</v>
      </c>
      <c r="AG452" s="294">
        <v>0</v>
      </c>
      <c r="AH452" s="294">
        <v>0</v>
      </c>
      <c r="AI452" s="294">
        <v>0</v>
      </c>
      <c r="AJ452" s="294">
        <v>0</v>
      </c>
      <c r="AK452" s="294">
        <v>0</v>
      </c>
      <c r="AL452" s="294">
        <v>0</v>
      </c>
      <c r="AM452" s="294">
        <v>0</v>
      </c>
      <c r="AN452" s="294">
        <v>0</v>
      </c>
      <c r="AO452" s="294">
        <v>0</v>
      </c>
      <c r="AP452" s="294">
        <v>0</v>
      </c>
      <c r="AQ452" s="294">
        <v>0</v>
      </c>
      <c r="AR452" s="295">
        <v>0</v>
      </c>
    </row>
    <row r="453" spans="1:44" hidden="1" x14ac:dyDescent="0.2">
      <c r="A453" s="283"/>
      <c r="B453" s="291">
        <v>6</v>
      </c>
      <c r="C453" s="283" t="s">
        <v>229</v>
      </c>
      <c r="D453" s="292" t="s">
        <v>230</v>
      </c>
      <c r="E453" s="283"/>
      <c r="F453" s="283"/>
      <c r="G453" s="293"/>
      <c r="H453" s="293"/>
      <c r="I453" s="293"/>
      <c r="J453" s="293"/>
      <c r="K453" s="293"/>
      <c r="L453" s="293"/>
      <c r="M453" s="293"/>
      <c r="N453" s="293">
        <v>173675.76</v>
      </c>
      <c r="O453" s="293">
        <v>175892.04000000004</v>
      </c>
      <c r="P453" s="293">
        <v>177705.36000000002</v>
      </c>
      <c r="Q453" s="293">
        <v>179720.16</v>
      </c>
      <c r="R453" s="294">
        <v>181734.96</v>
      </c>
      <c r="S453" s="294">
        <v>183951.24</v>
      </c>
      <c r="T453" s="294">
        <v>186167.52000000002</v>
      </c>
      <c r="U453" s="294">
        <v>187980.84</v>
      </c>
      <c r="V453" s="294">
        <v>189995.64</v>
      </c>
      <c r="W453" s="294">
        <v>192010.44</v>
      </c>
      <c r="X453" s="294">
        <v>194025.24</v>
      </c>
      <c r="Y453" s="294">
        <v>196241.52000000002</v>
      </c>
      <c r="Z453" s="294">
        <v>198256.32</v>
      </c>
      <c r="AA453" s="294">
        <v>200069.64</v>
      </c>
      <c r="AB453" s="294">
        <v>202084.44</v>
      </c>
      <c r="AC453" s="294">
        <v>204099.24</v>
      </c>
      <c r="AD453" s="294">
        <v>206114.04</v>
      </c>
      <c r="AE453" s="294">
        <v>207524.40000000002</v>
      </c>
      <c r="AF453" s="294">
        <v>209942.16</v>
      </c>
      <c r="AG453" s="294">
        <v>211956.96</v>
      </c>
      <c r="AH453" s="294">
        <v>213770.28</v>
      </c>
      <c r="AI453" s="294">
        <v>215986.56000000003</v>
      </c>
      <c r="AJ453" s="294">
        <v>218001.36000000002</v>
      </c>
      <c r="AK453" s="294">
        <v>219814.68</v>
      </c>
      <c r="AL453" s="294">
        <v>222030.96</v>
      </c>
      <c r="AM453" s="294">
        <v>224045.75999999998</v>
      </c>
      <c r="AN453" s="294">
        <v>226060.56</v>
      </c>
      <c r="AO453" s="294">
        <v>228679.8</v>
      </c>
      <c r="AP453" s="294">
        <v>230694.6</v>
      </c>
      <c r="AQ453" s="294">
        <v>232875.42219228059</v>
      </c>
      <c r="AR453" s="295">
        <v>235278.90130324196</v>
      </c>
    </row>
    <row r="454" spans="1:44" hidden="1" x14ac:dyDescent="0.2">
      <c r="A454" s="283"/>
      <c r="B454" s="291">
        <v>7</v>
      </c>
      <c r="C454" s="283" t="s">
        <v>231</v>
      </c>
      <c r="D454" s="292" t="s">
        <v>225</v>
      </c>
      <c r="E454" s="283"/>
      <c r="F454" s="283"/>
      <c r="G454" s="293"/>
      <c r="H454" s="293"/>
      <c r="I454" s="293"/>
      <c r="J454" s="293"/>
      <c r="K454" s="293"/>
      <c r="L454" s="293"/>
      <c r="M454" s="293"/>
      <c r="N454" s="293">
        <v>0</v>
      </c>
      <c r="O454" s="293">
        <v>0</v>
      </c>
      <c r="P454" s="293">
        <v>0</v>
      </c>
      <c r="Q454" s="293">
        <v>0</v>
      </c>
      <c r="R454" s="294">
        <v>0</v>
      </c>
      <c r="S454" s="294">
        <v>0</v>
      </c>
      <c r="T454" s="294">
        <v>0</v>
      </c>
      <c r="U454" s="294">
        <v>0</v>
      </c>
      <c r="V454" s="294">
        <v>0</v>
      </c>
      <c r="W454" s="294">
        <v>0</v>
      </c>
      <c r="X454" s="294">
        <v>0</v>
      </c>
      <c r="Y454" s="294">
        <v>0</v>
      </c>
      <c r="Z454" s="294">
        <v>0</v>
      </c>
      <c r="AA454" s="294">
        <v>0</v>
      </c>
      <c r="AB454" s="294">
        <v>0</v>
      </c>
      <c r="AC454" s="294">
        <v>0</v>
      </c>
      <c r="AD454" s="294">
        <v>0</v>
      </c>
      <c r="AE454" s="294">
        <v>0</v>
      </c>
      <c r="AF454" s="294">
        <v>0</v>
      </c>
      <c r="AG454" s="294">
        <v>0</v>
      </c>
      <c r="AH454" s="294">
        <v>0</v>
      </c>
      <c r="AI454" s="294">
        <v>0</v>
      </c>
      <c r="AJ454" s="294">
        <v>0</v>
      </c>
      <c r="AK454" s="294">
        <v>0</v>
      </c>
      <c r="AL454" s="294">
        <v>0</v>
      </c>
      <c r="AM454" s="294">
        <v>0</v>
      </c>
      <c r="AN454" s="294">
        <v>0</v>
      </c>
      <c r="AO454" s="294">
        <v>0</v>
      </c>
      <c r="AP454" s="294">
        <v>0</v>
      </c>
      <c r="AQ454" s="294">
        <v>0</v>
      </c>
      <c r="AR454" s="295">
        <v>0</v>
      </c>
    </row>
    <row r="455" spans="1:44" hidden="1" x14ac:dyDescent="0.2">
      <c r="A455" s="283"/>
      <c r="B455" s="291">
        <v>8</v>
      </c>
      <c r="C455" s="283" t="s">
        <v>232</v>
      </c>
      <c r="D455" s="292" t="s">
        <v>233</v>
      </c>
      <c r="E455" s="283"/>
      <c r="F455" s="283"/>
      <c r="G455" s="293"/>
      <c r="H455" s="293"/>
      <c r="I455" s="293"/>
      <c r="J455" s="293"/>
      <c r="K455" s="293"/>
      <c r="L455" s="293"/>
      <c r="M455" s="293"/>
      <c r="N455" s="293">
        <v>5048704.0575071564</v>
      </c>
      <c r="O455" s="293">
        <v>5129320.8959041517</v>
      </c>
      <c r="P455" s="293">
        <v>5211225.0101167029</v>
      </c>
      <c r="Q455" s="293">
        <v>5294436.955143718</v>
      </c>
      <c r="R455" s="294">
        <v>5377396.037094065</v>
      </c>
      <c r="S455" s="294">
        <v>5463261.3725110739</v>
      </c>
      <c r="T455" s="294">
        <v>5543814.4636372151</v>
      </c>
      <c r="U455" s="294">
        <v>5625555.2703141151</v>
      </c>
      <c r="V455" s="294">
        <v>5708501.304821061</v>
      </c>
      <c r="W455" s="294">
        <v>5792670.3376472509</v>
      </c>
      <c r="X455" s="294">
        <v>5878080.401298983</v>
      </c>
      <c r="Y455" s="294">
        <v>5956421.3462596498</v>
      </c>
      <c r="Z455" s="294">
        <v>6035806.3912050622</v>
      </c>
      <c r="AA455" s="294">
        <v>6116249.4515249161</v>
      </c>
      <c r="AB455" s="294">
        <v>6197764.6280682189</v>
      </c>
      <c r="AC455" s="294">
        <v>6617992.0546240341</v>
      </c>
      <c r="AD455" s="294">
        <v>6698903.4253406674</v>
      </c>
      <c r="AE455" s="294">
        <v>6780804.0160287367</v>
      </c>
      <c r="AF455" s="294">
        <v>6863705.9208616978</v>
      </c>
      <c r="AG455" s="294">
        <v>6947621.3818760049</v>
      </c>
      <c r="AH455" s="294">
        <v>7032562.7907788698</v>
      </c>
      <c r="AI455" s="294">
        <v>7118542.6907781688</v>
      </c>
      <c r="AJ455" s="294">
        <v>7205573.7784346268</v>
      </c>
      <c r="AK455" s="294">
        <v>7293668.9055367531</v>
      </c>
      <c r="AL455" s="294">
        <v>7382841.0809986312</v>
      </c>
      <c r="AM455" s="294">
        <v>7473103.4727809392</v>
      </c>
      <c r="AN455" s="294">
        <v>7564469.4098354336</v>
      </c>
      <c r="AO455" s="294">
        <v>7656952.3840732472</v>
      </c>
      <c r="AP455" s="294">
        <v>7750566.0523571912</v>
      </c>
      <c r="AQ455" s="294">
        <v>7845324.2385184849</v>
      </c>
      <c r="AR455" s="295">
        <v>7941240.9353980822</v>
      </c>
    </row>
    <row r="456" spans="1:44" hidden="1" x14ac:dyDescent="0.2">
      <c r="B456" s="304"/>
      <c r="C456" s="158" t="s">
        <v>84</v>
      </c>
      <c r="D456" s="159"/>
      <c r="E456" s="158"/>
      <c r="F456" s="158"/>
      <c r="G456" s="297">
        <v>0</v>
      </c>
      <c r="H456" s="297">
        <v>0</v>
      </c>
      <c r="I456" s="297">
        <v>0</v>
      </c>
      <c r="J456" s="297">
        <v>0</v>
      </c>
      <c r="K456" s="297">
        <v>0</v>
      </c>
      <c r="L456" s="297">
        <v>0</v>
      </c>
      <c r="M456" s="297">
        <v>0</v>
      </c>
      <c r="N456" s="298">
        <v>6516096.505941337</v>
      </c>
      <c r="O456" s="298">
        <v>6617526.7421829514</v>
      </c>
      <c r="P456" s="298">
        <v>6720230.5198764428</v>
      </c>
      <c r="Q456" s="298">
        <v>6824842.117693237</v>
      </c>
      <c r="R456" s="298">
        <v>6842513.6145127891</v>
      </c>
      <c r="S456" s="298">
        <v>6729017.6304453807</v>
      </c>
      <c r="T456" s="298">
        <v>6522177.4506103899</v>
      </c>
      <c r="U456" s="298">
        <v>6322449.7938549872</v>
      </c>
      <c r="V456" s="298">
        <v>6252960.1196270054</v>
      </c>
      <c r="W456" s="298">
        <v>6251998.8573207529</v>
      </c>
      <c r="X456" s="298">
        <v>6346326.5736181159</v>
      </c>
      <c r="Y456" s="298">
        <v>6432606.5212119129</v>
      </c>
      <c r="Z456" s="298">
        <v>6518534.5092217438</v>
      </c>
      <c r="AA456" s="298">
        <v>6605399.2168093696</v>
      </c>
      <c r="AB456" s="298">
        <v>6693619.2214730633</v>
      </c>
      <c r="AC456" s="298">
        <v>7120634.7239026371</v>
      </c>
      <c r="AD456" s="298">
        <v>7208285.0811218983</v>
      </c>
      <c r="AE456" s="298">
        <v>7296403.2311472371</v>
      </c>
      <c r="AF456" s="298">
        <v>7386614.6840195553</v>
      </c>
      <c r="AG456" s="298">
        <v>7477522.9293788513</v>
      </c>
      <c r="AH456" s="298">
        <v>7569343.4789406033</v>
      </c>
      <c r="AI456" s="298">
        <v>7662694.989008883</v>
      </c>
      <c r="AJ456" s="298">
        <v>7756987.4230266381</v>
      </c>
      <c r="AK456" s="298">
        <v>7852235.3741639759</v>
      </c>
      <c r="AL456" s="298">
        <v>7949058.0679448713</v>
      </c>
      <c r="AM456" s="298">
        <v>8046866.0449130451</v>
      </c>
      <c r="AN456" s="298">
        <v>8145875.9633375769</v>
      </c>
      <c r="AO456" s="298">
        <v>8246707.6419589929</v>
      </c>
      <c r="AP456" s="298">
        <v>8348167.7827763809</v>
      </c>
      <c r="AQ456" s="298">
        <v>8451042.6360686179</v>
      </c>
      <c r="AR456" s="299">
        <v>8555404.8336075488</v>
      </c>
    </row>
    <row r="457" spans="1:44" hidden="1" x14ac:dyDescent="0.2">
      <c r="A457" s="300"/>
      <c r="B457" s="301"/>
      <c r="C457" s="300"/>
      <c r="D457" s="300"/>
      <c r="E457" s="300"/>
      <c r="F457" s="300"/>
      <c r="G457" s="302"/>
      <c r="H457" s="302"/>
      <c r="I457" s="302"/>
      <c r="J457" s="302"/>
      <c r="K457" s="302"/>
      <c r="L457" s="302"/>
      <c r="M457" s="302"/>
      <c r="N457" s="302"/>
      <c r="O457" s="302"/>
      <c r="P457" s="302"/>
      <c r="Q457" s="300"/>
      <c r="R457" s="300"/>
      <c r="S457" s="300"/>
      <c r="T457" s="300"/>
      <c r="U457" s="300"/>
      <c r="V457" s="300"/>
      <c r="W457" s="300"/>
      <c r="X457" s="300"/>
      <c r="Y457" s="300"/>
      <c r="Z457" s="300"/>
      <c r="AA457" s="300"/>
      <c r="AB457" s="300"/>
      <c r="AC457" s="300"/>
      <c r="AD457" s="300"/>
      <c r="AE457" s="300"/>
      <c r="AF457" s="300"/>
      <c r="AG457" s="300"/>
      <c r="AH457" s="300"/>
      <c r="AI457" s="300"/>
      <c r="AJ457" s="300"/>
      <c r="AK457" s="300"/>
      <c r="AL457" s="300"/>
      <c r="AM457" s="300"/>
      <c r="AN457" s="300"/>
      <c r="AO457" s="300"/>
      <c r="AP457" s="300"/>
      <c r="AQ457" s="300"/>
      <c r="AR457" s="303"/>
    </row>
    <row r="458" spans="1:44" hidden="1" x14ac:dyDescent="0.2">
      <c r="A458" s="270"/>
      <c r="B458" s="271"/>
      <c r="C458" s="272" t="s">
        <v>285</v>
      </c>
      <c r="D458" s="272"/>
      <c r="E458" s="272"/>
      <c r="F458" s="272"/>
      <c r="G458" s="272"/>
      <c r="H458" s="272"/>
      <c r="I458" s="272"/>
      <c r="J458" s="272"/>
      <c r="K458" s="272"/>
      <c r="L458" s="272"/>
      <c r="M458" s="272"/>
      <c r="N458" s="272"/>
      <c r="O458" s="272"/>
      <c r="P458" s="272"/>
      <c r="Q458" s="272"/>
      <c r="R458" s="272"/>
      <c r="S458" s="272"/>
      <c r="T458" s="272"/>
      <c r="U458" s="272"/>
      <c r="V458" s="272"/>
      <c r="W458" s="272"/>
      <c r="X458" s="272"/>
      <c r="Y458" s="272"/>
      <c r="Z458" s="272"/>
      <c r="AA458" s="272"/>
      <c r="AB458" s="272"/>
      <c r="AC458" s="272"/>
      <c r="AD458" s="272"/>
      <c r="AE458" s="272"/>
      <c r="AF458" s="272"/>
      <c r="AG458" s="273"/>
      <c r="AH458" s="272"/>
      <c r="AI458" s="274"/>
      <c r="AJ458" s="272"/>
      <c r="AK458" s="272"/>
      <c r="AL458" s="273"/>
      <c r="AM458" s="273"/>
      <c r="AN458" s="273"/>
      <c r="AO458" s="273"/>
      <c r="AP458" s="273"/>
      <c r="AQ458" s="273"/>
      <c r="AR458" s="275"/>
    </row>
    <row r="459" spans="1:44" ht="45" hidden="1" x14ac:dyDescent="0.2">
      <c r="A459" s="276"/>
      <c r="B459" s="277"/>
      <c r="C459" s="278" t="s">
        <v>278</v>
      </c>
      <c r="D459" s="279" t="s">
        <v>279</v>
      </c>
      <c r="E459" s="278"/>
      <c r="F459" s="278"/>
      <c r="G459" s="280">
        <v>2019</v>
      </c>
      <c r="H459" s="280">
        <v>2020</v>
      </c>
      <c r="I459" s="280">
        <v>2021</v>
      </c>
      <c r="J459" s="280">
        <v>2022</v>
      </c>
      <c r="K459" s="280">
        <v>2023</v>
      </c>
      <c r="L459" s="281">
        <v>45352</v>
      </c>
      <c r="M459" s="280">
        <v>2024</v>
      </c>
      <c r="N459" s="278">
        <v>2025</v>
      </c>
      <c r="O459" s="278">
        <v>2026</v>
      </c>
      <c r="P459" s="278">
        <v>2027</v>
      </c>
      <c r="Q459" s="278">
        <v>2028</v>
      </c>
      <c r="R459" s="278">
        <v>2029</v>
      </c>
      <c r="S459" s="278">
        <v>2030</v>
      </c>
      <c r="T459" s="278">
        <v>2031</v>
      </c>
      <c r="U459" s="278">
        <v>2032</v>
      </c>
      <c r="V459" s="278">
        <v>2033</v>
      </c>
      <c r="W459" s="278">
        <v>2034</v>
      </c>
      <c r="X459" s="278">
        <v>2035</v>
      </c>
      <c r="Y459" s="278">
        <v>2036</v>
      </c>
      <c r="Z459" s="278">
        <v>2037</v>
      </c>
      <c r="AA459" s="278">
        <v>2038</v>
      </c>
      <c r="AB459" s="278">
        <v>2039</v>
      </c>
      <c r="AC459" s="278">
        <v>2040</v>
      </c>
      <c r="AD459" s="278">
        <v>2041</v>
      </c>
      <c r="AE459" s="278">
        <v>2042</v>
      </c>
      <c r="AF459" s="278">
        <v>2043</v>
      </c>
      <c r="AG459" s="278">
        <v>2044</v>
      </c>
      <c r="AH459" s="278">
        <v>2045</v>
      </c>
      <c r="AI459" s="278">
        <v>2046</v>
      </c>
      <c r="AJ459" s="278">
        <v>2047</v>
      </c>
      <c r="AK459" s="278">
        <v>2048</v>
      </c>
      <c r="AL459" s="278">
        <v>2049</v>
      </c>
      <c r="AM459" s="278">
        <v>2050</v>
      </c>
      <c r="AN459" s="278">
        <v>2051</v>
      </c>
      <c r="AO459" s="278">
        <v>2052</v>
      </c>
      <c r="AP459" s="278">
        <v>2053</v>
      </c>
      <c r="AQ459" s="278">
        <v>2054</v>
      </c>
      <c r="AR459" s="282">
        <v>2055</v>
      </c>
    </row>
    <row r="460" spans="1:44" hidden="1" x14ac:dyDescent="0.2">
      <c r="A460" s="283"/>
      <c r="B460" s="284"/>
      <c r="C460" s="285"/>
      <c r="D460" s="286"/>
      <c r="E460" s="287"/>
      <c r="F460" s="285"/>
      <c r="G460" s="285" t="s">
        <v>243</v>
      </c>
      <c r="H460" s="285" t="s">
        <v>243</v>
      </c>
      <c r="I460" s="285" t="s">
        <v>243</v>
      </c>
      <c r="J460" s="285" t="s">
        <v>243</v>
      </c>
      <c r="K460" s="285" t="s">
        <v>243</v>
      </c>
      <c r="L460" s="285" t="s">
        <v>244</v>
      </c>
      <c r="M460" s="285" t="s">
        <v>245</v>
      </c>
      <c r="N460" s="285"/>
      <c r="O460" s="285"/>
      <c r="P460" s="285"/>
      <c r="Q460" s="285"/>
      <c r="R460" s="285"/>
      <c r="S460" s="285"/>
      <c r="T460" s="285"/>
      <c r="U460" s="288"/>
      <c r="V460" s="289"/>
      <c r="W460" s="285"/>
      <c r="X460" s="285"/>
      <c r="Y460" s="285"/>
      <c r="Z460" s="285"/>
      <c r="AA460" s="285"/>
      <c r="AB460" s="285"/>
      <c r="AC460" s="285"/>
      <c r="AD460" s="285"/>
      <c r="AE460" s="285"/>
      <c r="AF460" s="285"/>
      <c r="AG460" s="285"/>
      <c r="AH460" s="285"/>
      <c r="AI460" s="285"/>
      <c r="AJ460" s="285"/>
      <c r="AK460" s="285"/>
      <c r="AL460" s="285"/>
      <c r="AM460" s="285"/>
      <c r="AN460" s="285"/>
      <c r="AO460" s="285"/>
      <c r="AP460" s="285"/>
      <c r="AQ460" s="285"/>
      <c r="AR460" s="290"/>
    </row>
    <row r="461" spans="1:44" hidden="1" x14ac:dyDescent="0.2">
      <c r="A461" s="283"/>
      <c r="B461" s="291">
        <v>1</v>
      </c>
      <c r="C461" s="283" t="s">
        <v>220</v>
      </c>
      <c r="D461" s="292" t="s">
        <v>221</v>
      </c>
      <c r="E461" s="283"/>
      <c r="F461" s="283"/>
      <c r="G461" s="293"/>
      <c r="H461" s="293"/>
      <c r="I461" s="293"/>
      <c r="J461" s="293"/>
      <c r="K461" s="293"/>
      <c r="L461" s="293"/>
      <c r="M461" s="293"/>
      <c r="N461" s="293">
        <v>0</v>
      </c>
      <c r="O461" s="293">
        <v>0</v>
      </c>
      <c r="P461" s="293">
        <v>0</v>
      </c>
      <c r="Q461" s="293">
        <v>0</v>
      </c>
      <c r="R461" s="294">
        <v>0</v>
      </c>
      <c r="S461" s="294">
        <v>0</v>
      </c>
      <c r="T461" s="294">
        <v>0</v>
      </c>
      <c r="U461" s="294">
        <v>0</v>
      </c>
      <c r="V461" s="294">
        <v>0</v>
      </c>
      <c r="W461" s="294">
        <v>0</v>
      </c>
      <c r="X461" s="294">
        <v>0</v>
      </c>
      <c r="Y461" s="294">
        <v>0</v>
      </c>
      <c r="Z461" s="294">
        <v>0</v>
      </c>
      <c r="AA461" s="294">
        <v>0</v>
      </c>
      <c r="AB461" s="294">
        <v>0</v>
      </c>
      <c r="AC461" s="294">
        <v>0</v>
      </c>
      <c r="AD461" s="294">
        <v>0</v>
      </c>
      <c r="AE461" s="294">
        <v>0</v>
      </c>
      <c r="AF461" s="294">
        <v>0</v>
      </c>
      <c r="AG461" s="294">
        <v>0</v>
      </c>
      <c r="AH461" s="294">
        <v>0</v>
      </c>
      <c r="AI461" s="294">
        <v>0</v>
      </c>
      <c r="AJ461" s="294">
        <v>0</v>
      </c>
      <c r="AK461" s="294">
        <v>0</v>
      </c>
      <c r="AL461" s="294">
        <v>0</v>
      </c>
      <c r="AM461" s="294">
        <v>0</v>
      </c>
      <c r="AN461" s="294">
        <v>0</v>
      </c>
      <c r="AO461" s="294">
        <v>0</v>
      </c>
      <c r="AP461" s="294">
        <v>0</v>
      </c>
      <c r="AQ461" s="294">
        <v>0</v>
      </c>
      <c r="AR461" s="295">
        <v>0</v>
      </c>
    </row>
    <row r="462" spans="1:44" hidden="1" x14ac:dyDescent="0.2">
      <c r="A462" s="283"/>
      <c r="B462" s="291">
        <v>2</v>
      </c>
      <c r="C462" s="283" t="s">
        <v>222</v>
      </c>
      <c r="D462" s="292" t="s">
        <v>223</v>
      </c>
      <c r="E462" s="283"/>
      <c r="F462" s="283"/>
      <c r="G462" s="293"/>
      <c r="H462" s="293"/>
      <c r="I462" s="293"/>
      <c r="J462" s="293"/>
      <c r="K462" s="293"/>
      <c r="L462" s="293"/>
      <c r="M462" s="293"/>
      <c r="N462" s="293">
        <v>23737.518595041318</v>
      </c>
      <c r="O462" s="293">
        <v>23856.20618801652</v>
      </c>
      <c r="P462" s="293">
        <v>23975.487218956601</v>
      </c>
      <c r="Q462" s="293">
        <v>24095.364655051388</v>
      </c>
      <c r="R462" s="294">
        <v>24215.841478326638</v>
      </c>
      <c r="S462" s="294">
        <v>24336.920685718265</v>
      </c>
      <c r="T462" s="294">
        <v>24458.605289146857</v>
      </c>
      <c r="U462" s="294">
        <v>24580.898315592589</v>
      </c>
      <c r="V462" s="294">
        <v>24703.802807170552</v>
      </c>
      <c r="W462" s="294">
        <v>24827.321821206395</v>
      </c>
      <c r="X462" s="294">
        <v>24951.458430312428</v>
      </c>
      <c r="Y462" s="294">
        <v>25076.215722463992</v>
      </c>
      <c r="Z462" s="294">
        <v>25201.596801076303</v>
      </c>
      <c r="AA462" s="294">
        <v>25327.604785081683</v>
      </c>
      <c r="AB462" s="294">
        <v>25454.242809007086</v>
      </c>
      <c r="AC462" s="294">
        <v>25581.514023052121</v>
      </c>
      <c r="AD462" s="294">
        <v>25709.421593167379</v>
      </c>
      <c r="AE462" s="294">
        <v>25837.968701133213</v>
      </c>
      <c r="AF462" s="294">
        <v>25967.158544638878</v>
      </c>
      <c r="AG462" s="294">
        <v>26096.99433736207</v>
      </c>
      <c r="AH462" s="294">
        <v>26227.479309048878</v>
      </c>
      <c r="AI462" s="294">
        <v>26358.616705594122</v>
      </c>
      <c r="AJ462" s="294">
        <v>26490.409789122088</v>
      </c>
      <c r="AK462" s="294">
        <v>26622.861838067696</v>
      </c>
      <c r="AL462" s="294">
        <v>26755.976147258029</v>
      </c>
      <c r="AM462" s="294">
        <v>26889.756027994317</v>
      </c>
      <c r="AN462" s="294">
        <v>27024.204808134284</v>
      </c>
      <c r="AO462" s="294">
        <v>27159.325832174953</v>
      </c>
      <c r="AP462" s="294">
        <v>27295.122461335824</v>
      </c>
      <c r="AQ462" s="294">
        <v>27431.598073642501</v>
      </c>
      <c r="AR462" s="295">
        <v>27568.756064010715</v>
      </c>
    </row>
    <row r="463" spans="1:44" hidden="1" x14ac:dyDescent="0.2">
      <c r="A463" s="283"/>
      <c r="B463" s="291">
        <v>3</v>
      </c>
      <c r="C463" s="283" t="s">
        <v>224</v>
      </c>
      <c r="D463" s="292" t="s">
        <v>225</v>
      </c>
      <c r="E463" s="283"/>
      <c r="F463" s="283"/>
      <c r="G463" s="293"/>
      <c r="H463" s="293"/>
      <c r="I463" s="293"/>
      <c r="J463" s="293"/>
      <c r="K463" s="293"/>
      <c r="L463" s="293"/>
      <c r="M463" s="293"/>
      <c r="N463" s="293">
        <v>0</v>
      </c>
      <c r="O463" s="293">
        <v>0</v>
      </c>
      <c r="P463" s="293">
        <v>0</v>
      </c>
      <c r="Q463" s="293">
        <v>0</v>
      </c>
      <c r="R463" s="294">
        <v>0</v>
      </c>
      <c r="S463" s="294">
        <v>0</v>
      </c>
      <c r="T463" s="294">
        <v>0</v>
      </c>
      <c r="U463" s="294">
        <v>0</v>
      </c>
      <c r="V463" s="294">
        <v>0</v>
      </c>
      <c r="W463" s="294">
        <v>0</v>
      </c>
      <c r="X463" s="294">
        <v>0</v>
      </c>
      <c r="Y463" s="294">
        <v>0</v>
      </c>
      <c r="Z463" s="294">
        <v>0</v>
      </c>
      <c r="AA463" s="294">
        <v>0</v>
      </c>
      <c r="AB463" s="294">
        <v>0</v>
      </c>
      <c r="AC463" s="294">
        <v>0</v>
      </c>
      <c r="AD463" s="294">
        <v>0</v>
      </c>
      <c r="AE463" s="294">
        <v>0</v>
      </c>
      <c r="AF463" s="294">
        <v>0</v>
      </c>
      <c r="AG463" s="294">
        <v>0</v>
      </c>
      <c r="AH463" s="294">
        <v>0</v>
      </c>
      <c r="AI463" s="294">
        <v>0</v>
      </c>
      <c r="AJ463" s="294">
        <v>0</v>
      </c>
      <c r="AK463" s="294">
        <v>0</v>
      </c>
      <c r="AL463" s="294">
        <v>0</v>
      </c>
      <c r="AM463" s="294">
        <v>0</v>
      </c>
      <c r="AN463" s="294">
        <v>0</v>
      </c>
      <c r="AO463" s="294">
        <v>0</v>
      </c>
      <c r="AP463" s="294">
        <v>0</v>
      </c>
      <c r="AQ463" s="294">
        <v>0</v>
      </c>
      <c r="AR463" s="295">
        <v>0</v>
      </c>
    </row>
    <row r="464" spans="1:44" hidden="1" x14ac:dyDescent="0.2">
      <c r="A464" s="283"/>
      <c r="B464" s="291">
        <v>4</v>
      </c>
      <c r="C464" s="283" t="s">
        <v>226</v>
      </c>
      <c r="D464" s="292" t="s">
        <v>227</v>
      </c>
      <c r="E464" s="283"/>
      <c r="F464" s="283"/>
      <c r="G464" s="293"/>
      <c r="H464" s="293"/>
      <c r="I464" s="293"/>
      <c r="J464" s="293"/>
      <c r="K464" s="293"/>
      <c r="L464" s="293"/>
      <c r="M464" s="293"/>
      <c r="N464" s="293">
        <v>822722.80879629613</v>
      </c>
      <c r="O464" s="293">
        <v>826836.42284027732</v>
      </c>
      <c r="P464" s="293">
        <v>830970.6049544788</v>
      </c>
      <c r="Q464" s="293">
        <v>835125.45797925093</v>
      </c>
      <c r="R464" s="294">
        <v>839301.08526914706</v>
      </c>
      <c r="S464" s="294">
        <v>843497.59069549281</v>
      </c>
      <c r="T464" s="294">
        <v>847715.07864897023</v>
      </c>
      <c r="U464" s="294">
        <v>851953.65404221497</v>
      </c>
      <c r="V464" s="294">
        <v>856213.42231242592</v>
      </c>
      <c r="W464" s="294">
        <v>860494.48942398804</v>
      </c>
      <c r="X464" s="294">
        <v>864796.96187110781</v>
      </c>
      <c r="Y464" s="294">
        <v>869120.94668046327</v>
      </c>
      <c r="Z464" s="294">
        <v>873466.55141386541</v>
      </c>
      <c r="AA464" s="294">
        <v>877833.88417093479</v>
      </c>
      <c r="AB464" s="294">
        <v>882223.05359178921</v>
      </c>
      <c r="AC464" s="294">
        <v>886634.16885974817</v>
      </c>
      <c r="AD464" s="294">
        <v>891067.33970404672</v>
      </c>
      <c r="AE464" s="294">
        <v>895522.67640256695</v>
      </c>
      <c r="AF464" s="294">
        <v>900000.28978457954</v>
      </c>
      <c r="AG464" s="294">
        <v>904500.29123350256</v>
      </c>
      <c r="AH464" s="294">
        <v>909022.79268966988</v>
      </c>
      <c r="AI464" s="294">
        <v>913567.90665311809</v>
      </c>
      <c r="AJ464" s="294">
        <v>918135.74618638377</v>
      </c>
      <c r="AK464" s="294">
        <v>922726.4249173156</v>
      </c>
      <c r="AL464" s="294">
        <v>927340.05704190186</v>
      </c>
      <c r="AM464" s="294">
        <v>931976.75732711144</v>
      </c>
      <c r="AN464" s="294">
        <v>936636.64111374691</v>
      </c>
      <c r="AO464" s="294">
        <v>941319.82431931561</v>
      </c>
      <c r="AP464" s="294">
        <v>946026.42344091204</v>
      </c>
      <c r="AQ464" s="294">
        <v>950756.55555811652</v>
      </c>
      <c r="AR464" s="295">
        <v>955510.33833590697</v>
      </c>
    </row>
    <row r="465" spans="1:44" hidden="1" x14ac:dyDescent="0.2">
      <c r="A465" s="283"/>
      <c r="B465" s="291">
        <v>5</v>
      </c>
      <c r="C465" s="283" t="s">
        <v>228</v>
      </c>
      <c r="D465" s="292" t="s">
        <v>221</v>
      </c>
      <c r="E465" s="283"/>
      <c r="F465" s="283"/>
      <c r="G465" s="293"/>
      <c r="H465" s="293"/>
      <c r="I465" s="293"/>
      <c r="J465" s="293"/>
      <c r="K465" s="293"/>
      <c r="L465" s="293"/>
      <c r="M465" s="293"/>
      <c r="N465" s="293">
        <v>0</v>
      </c>
      <c r="O465" s="293">
        <v>0</v>
      </c>
      <c r="P465" s="293">
        <v>0</v>
      </c>
      <c r="Q465" s="293">
        <v>0</v>
      </c>
      <c r="R465" s="294">
        <v>0</v>
      </c>
      <c r="S465" s="294">
        <v>0</v>
      </c>
      <c r="T465" s="294">
        <v>0</v>
      </c>
      <c r="U465" s="294">
        <v>0</v>
      </c>
      <c r="V465" s="294">
        <v>0</v>
      </c>
      <c r="W465" s="294">
        <v>0</v>
      </c>
      <c r="X465" s="294">
        <v>0</v>
      </c>
      <c r="Y465" s="294">
        <v>0</v>
      </c>
      <c r="Z465" s="294">
        <v>0</v>
      </c>
      <c r="AA465" s="294">
        <v>0</v>
      </c>
      <c r="AB465" s="294">
        <v>0</v>
      </c>
      <c r="AC465" s="294">
        <v>0</v>
      </c>
      <c r="AD465" s="294">
        <v>0</v>
      </c>
      <c r="AE465" s="294">
        <v>0</v>
      </c>
      <c r="AF465" s="294">
        <v>0</v>
      </c>
      <c r="AG465" s="294">
        <v>0</v>
      </c>
      <c r="AH465" s="294">
        <v>0</v>
      </c>
      <c r="AI465" s="294">
        <v>0</v>
      </c>
      <c r="AJ465" s="294">
        <v>0</v>
      </c>
      <c r="AK465" s="294">
        <v>0</v>
      </c>
      <c r="AL465" s="294">
        <v>0</v>
      </c>
      <c r="AM465" s="294">
        <v>0</v>
      </c>
      <c r="AN465" s="294">
        <v>0</v>
      </c>
      <c r="AO465" s="294">
        <v>0</v>
      </c>
      <c r="AP465" s="294">
        <v>0</v>
      </c>
      <c r="AQ465" s="294">
        <v>0</v>
      </c>
      <c r="AR465" s="295">
        <v>0</v>
      </c>
    </row>
    <row r="466" spans="1:44" hidden="1" x14ac:dyDescent="0.2">
      <c r="A466" s="283"/>
      <c r="B466" s="291">
        <v>6</v>
      </c>
      <c r="C466" s="283" t="s">
        <v>229</v>
      </c>
      <c r="D466" s="292" t="s">
        <v>230</v>
      </c>
      <c r="E466" s="283"/>
      <c r="F466" s="283"/>
      <c r="G466" s="293"/>
      <c r="H466" s="293"/>
      <c r="I466" s="293"/>
      <c r="J466" s="293"/>
      <c r="K466" s="293"/>
      <c r="L466" s="293"/>
      <c r="M466" s="293"/>
      <c r="N466" s="293">
        <v>1944331.6152160489</v>
      </c>
      <c r="O466" s="293">
        <v>1988586.5192334873</v>
      </c>
      <c r="P466" s="293">
        <v>2028538.6917524943</v>
      </c>
      <c r="Q466" s="293">
        <v>2068496.7391618742</v>
      </c>
      <c r="R466" s="294">
        <v>2108460.6908360785</v>
      </c>
      <c r="S466" s="294">
        <v>2148430.5762964319</v>
      </c>
      <c r="T466" s="294">
        <v>2188406.4252118645</v>
      </c>
      <c r="U466" s="294">
        <v>2237005.4217206398</v>
      </c>
      <c r="V466" s="294">
        <v>2281301.8643076378</v>
      </c>
      <c r="W466" s="294">
        <v>2325604.3602495464</v>
      </c>
      <c r="X466" s="294">
        <v>2369912.9398131398</v>
      </c>
      <c r="Y466" s="294">
        <v>2422844.7877375139</v>
      </c>
      <c r="Z466" s="294">
        <v>2467165.6259508934</v>
      </c>
      <c r="AA466" s="294">
        <v>2520109.793818302</v>
      </c>
      <c r="AB466" s="294">
        <v>2568751.5907349242</v>
      </c>
      <c r="AC466" s="294">
        <v>2626016.7792132902</v>
      </c>
      <c r="AD466" s="294">
        <v>2683288.2361186156</v>
      </c>
      <c r="AE466" s="294">
        <v>2736257.4156325422</v>
      </c>
      <c r="AF466" s="294">
        <v>2793541.5035749022</v>
      </c>
      <c r="AG466" s="294">
        <v>2842214.8001205549</v>
      </c>
      <c r="AH466" s="294">
        <v>2912437.3772075772</v>
      </c>
      <c r="AI466" s="294">
        <v>2974049.2266862076</v>
      </c>
      <c r="AJ466" s="294">
        <v>3035667.5350109963</v>
      </c>
      <c r="AK466" s="294">
        <v>3101600.9116366692</v>
      </c>
      <c r="AL466" s="294">
        <v>3167540.8118584324</v>
      </c>
      <c r="AM466" s="294">
        <v>3233487.2682942678</v>
      </c>
      <c r="AN466" s="294">
        <v>3308057.4680462321</v>
      </c>
      <c r="AO466" s="294">
        <v>3378325.7125778222</v>
      </c>
      <c r="AP466" s="294">
        <v>3448600.6121592293</v>
      </c>
      <c r="AQ466" s="294">
        <v>3527499.3543866924</v>
      </c>
      <c r="AR466" s="295">
        <v>3602096.2412203541</v>
      </c>
    </row>
    <row r="467" spans="1:44" hidden="1" x14ac:dyDescent="0.2">
      <c r="A467" s="283"/>
      <c r="B467" s="291">
        <v>7</v>
      </c>
      <c r="C467" s="283" t="s">
        <v>231</v>
      </c>
      <c r="D467" s="292" t="s">
        <v>225</v>
      </c>
      <c r="E467" s="283"/>
      <c r="F467" s="283"/>
      <c r="G467" s="293"/>
      <c r="H467" s="293"/>
      <c r="I467" s="293"/>
      <c r="J467" s="293"/>
      <c r="K467" s="293"/>
      <c r="L467" s="293"/>
      <c r="M467" s="293"/>
      <c r="N467" s="293">
        <v>0</v>
      </c>
      <c r="O467" s="293">
        <v>0</v>
      </c>
      <c r="P467" s="293">
        <v>0</v>
      </c>
      <c r="Q467" s="293">
        <v>0</v>
      </c>
      <c r="R467" s="294">
        <v>0</v>
      </c>
      <c r="S467" s="294">
        <v>0</v>
      </c>
      <c r="T467" s="294">
        <v>0</v>
      </c>
      <c r="U467" s="294">
        <v>0</v>
      </c>
      <c r="V467" s="294">
        <v>0</v>
      </c>
      <c r="W467" s="294">
        <v>0</v>
      </c>
      <c r="X467" s="294">
        <v>0</v>
      </c>
      <c r="Y467" s="294">
        <v>0</v>
      </c>
      <c r="Z467" s="294">
        <v>0</v>
      </c>
      <c r="AA467" s="294">
        <v>0</v>
      </c>
      <c r="AB467" s="294">
        <v>0</v>
      </c>
      <c r="AC467" s="294">
        <v>0</v>
      </c>
      <c r="AD467" s="294">
        <v>0</v>
      </c>
      <c r="AE467" s="294">
        <v>0</v>
      </c>
      <c r="AF467" s="294">
        <v>0</v>
      </c>
      <c r="AG467" s="294">
        <v>0</v>
      </c>
      <c r="AH467" s="294">
        <v>0</v>
      </c>
      <c r="AI467" s="294">
        <v>0</v>
      </c>
      <c r="AJ467" s="294">
        <v>0</v>
      </c>
      <c r="AK467" s="294">
        <v>0</v>
      </c>
      <c r="AL467" s="294">
        <v>0</v>
      </c>
      <c r="AM467" s="294">
        <v>0</v>
      </c>
      <c r="AN467" s="294">
        <v>0</v>
      </c>
      <c r="AO467" s="294">
        <v>0</v>
      </c>
      <c r="AP467" s="294">
        <v>0</v>
      </c>
      <c r="AQ467" s="294">
        <v>0</v>
      </c>
      <c r="AR467" s="295">
        <v>0</v>
      </c>
    </row>
    <row r="468" spans="1:44" hidden="1" x14ac:dyDescent="0.2">
      <c r="A468" s="283"/>
      <c r="B468" s="291">
        <v>8</v>
      </c>
      <c r="C468" s="283" t="s">
        <v>232</v>
      </c>
      <c r="D468" s="292" t="s">
        <v>233</v>
      </c>
      <c r="E468" s="283"/>
      <c r="F468" s="283"/>
      <c r="G468" s="293"/>
      <c r="H468" s="293"/>
      <c r="I468" s="293"/>
      <c r="J468" s="293"/>
      <c r="K468" s="293"/>
      <c r="L468" s="293"/>
      <c r="M468" s="293"/>
      <c r="N468" s="293">
        <v>1109851.868194307</v>
      </c>
      <c r="O468" s="293">
        <v>1114453.5292583178</v>
      </c>
      <c r="P468" s="293">
        <v>1119164.5462592675</v>
      </c>
      <c r="Q468" s="293">
        <v>1123988.1711813686</v>
      </c>
      <c r="R468" s="294">
        <v>1128927.753539667</v>
      </c>
      <c r="S468" s="294">
        <v>1133986.7433059374</v>
      </c>
      <c r="T468" s="294">
        <v>1139168.6939223558</v>
      </c>
      <c r="U468" s="294">
        <v>1144477.2654055844</v>
      </c>
      <c r="V468" s="294">
        <v>1149916.2275439748</v>
      </c>
      <c r="W468" s="294">
        <v>1155489.4631906934</v>
      </c>
      <c r="X468" s="294">
        <v>1161200.971655634</v>
      </c>
      <c r="Y468" s="294">
        <v>1167054.8721990921</v>
      </c>
      <c r="Z468" s="294">
        <v>1173055.4076302475</v>
      </c>
      <c r="AA468" s="294">
        <v>1179206.948013603</v>
      </c>
      <c r="AB468" s="294">
        <v>1185513.9944866134</v>
      </c>
      <c r="AC468" s="294">
        <v>1191981.1831918471</v>
      </c>
      <c r="AD468" s="294">
        <v>1198613.2893271083</v>
      </c>
      <c r="AE468" s="294">
        <v>1205415.2313170668</v>
      </c>
      <c r="AF468" s="294">
        <v>1212392.0751100341</v>
      </c>
      <c r="AG468" s="294">
        <v>1219549.0386036439</v>
      </c>
      <c r="AH468" s="294">
        <v>1226891.4962033026</v>
      </c>
      <c r="AI468" s="294">
        <v>1234424.9835173923</v>
      </c>
      <c r="AJ468" s="294">
        <v>1242155.2021933326</v>
      </c>
      <c r="AK468" s="294">
        <v>1250088.0248987216</v>
      </c>
      <c r="AL468" s="294">
        <v>1258229.5004519122</v>
      </c>
      <c r="AM468" s="294">
        <v>1266585.8591065046</v>
      </c>
      <c r="AN468" s="294">
        <v>1275163.5179943754</v>
      </c>
      <c r="AO468" s="294">
        <v>1283969.0867319973</v>
      </c>
      <c r="AP468" s="294">
        <v>1293009.373194946</v>
      </c>
      <c r="AQ468" s="294">
        <v>1302291.3894656436</v>
      </c>
      <c r="AR468" s="295">
        <v>1311822.3579595373</v>
      </c>
    </row>
    <row r="469" spans="1:44" hidden="1" x14ac:dyDescent="0.2">
      <c r="B469" s="304"/>
      <c r="C469" s="158" t="s">
        <v>84</v>
      </c>
      <c r="D469" s="159"/>
      <c r="E469" s="158"/>
      <c r="F469" s="158"/>
      <c r="G469" s="297">
        <v>0</v>
      </c>
      <c r="H469" s="297">
        <v>0</v>
      </c>
      <c r="I469" s="297">
        <v>0</v>
      </c>
      <c r="J469" s="297">
        <v>0</v>
      </c>
      <c r="K469" s="297">
        <v>0</v>
      </c>
      <c r="L469" s="297">
        <v>0</v>
      </c>
      <c r="M469" s="297">
        <v>0</v>
      </c>
      <c r="N469" s="298">
        <v>3900643.8108016932</v>
      </c>
      <c r="O469" s="298">
        <v>3953732.6775200991</v>
      </c>
      <c r="P469" s="298">
        <v>4002649.3301851973</v>
      </c>
      <c r="Q469" s="298">
        <v>4051705.7329775449</v>
      </c>
      <c r="R469" s="298">
        <v>4100905.3711232194</v>
      </c>
      <c r="S469" s="298">
        <v>4150251.8309835806</v>
      </c>
      <c r="T469" s="298">
        <v>4199748.8030723371</v>
      </c>
      <c r="U469" s="298">
        <v>4258017.2394840317</v>
      </c>
      <c r="V469" s="298">
        <v>4312135.3169712089</v>
      </c>
      <c r="W469" s="298">
        <v>4366415.6346854344</v>
      </c>
      <c r="X469" s="298">
        <v>4420862.3317701938</v>
      </c>
      <c r="Y469" s="298">
        <v>4484096.8223395329</v>
      </c>
      <c r="Z469" s="298">
        <v>4538889.1817960832</v>
      </c>
      <c r="AA469" s="298">
        <v>4602478.2307879217</v>
      </c>
      <c r="AB469" s="298">
        <v>4661942.881622334</v>
      </c>
      <c r="AC469" s="298">
        <v>4730213.6452879375</v>
      </c>
      <c r="AD469" s="298">
        <v>4798678.2867429378</v>
      </c>
      <c r="AE469" s="298">
        <v>4863033.2920533093</v>
      </c>
      <c r="AF469" s="298">
        <v>4931901.0270141549</v>
      </c>
      <c r="AG469" s="298">
        <v>4992361.1242950633</v>
      </c>
      <c r="AH469" s="298">
        <v>5074579.1454095989</v>
      </c>
      <c r="AI469" s="298">
        <v>5148400.7335623121</v>
      </c>
      <c r="AJ469" s="298">
        <v>5222448.8931798348</v>
      </c>
      <c r="AK469" s="298">
        <v>5301038.223290774</v>
      </c>
      <c r="AL469" s="298">
        <v>5379866.3454995044</v>
      </c>
      <c r="AM469" s="298">
        <v>5458939.6407558778</v>
      </c>
      <c r="AN469" s="298">
        <v>5546881.8319624886</v>
      </c>
      <c r="AO469" s="298">
        <v>5630773.9494613102</v>
      </c>
      <c r="AP469" s="298">
        <v>5714931.5312564233</v>
      </c>
      <c r="AQ469" s="298">
        <v>5807978.8974840958</v>
      </c>
      <c r="AR469" s="299">
        <v>5896997.6935798097</v>
      </c>
    </row>
    <row r="470" spans="1:44" hidden="1" x14ac:dyDescent="0.2">
      <c r="A470" s="300"/>
      <c r="B470" s="301"/>
      <c r="C470" s="300"/>
      <c r="D470" s="300"/>
      <c r="E470" s="300"/>
      <c r="F470" s="300"/>
      <c r="G470" s="302"/>
      <c r="H470" s="302"/>
      <c r="I470" s="302"/>
      <c r="J470" s="302"/>
      <c r="K470" s="302"/>
      <c r="L470" s="302"/>
      <c r="M470" s="302"/>
      <c r="N470" s="302"/>
      <c r="O470" s="302"/>
      <c r="P470" s="302"/>
      <c r="Q470" s="300"/>
      <c r="R470" s="300"/>
      <c r="S470" s="300"/>
      <c r="T470" s="300"/>
      <c r="U470" s="300"/>
      <c r="V470" s="300"/>
      <c r="W470" s="300"/>
      <c r="X470" s="300"/>
      <c r="Y470" s="300"/>
      <c r="Z470" s="300"/>
      <c r="AA470" s="300"/>
      <c r="AB470" s="300"/>
      <c r="AC470" s="300"/>
      <c r="AD470" s="300"/>
      <c r="AE470" s="300"/>
      <c r="AF470" s="300"/>
      <c r="AG470" s="300"/>
      <c r="AH470" s="300"/>
      <c r="AI470" s="300"/>
      <c r="AJ470" s="300"/>
      <c r="AK470" s="300"/>
      <c r="AL470" s="300"/>
      <c r="AM470" s="300"/>
      <c r="AN470" s="300"/>
      <c r="AO470" s="300"/>
      <c r="AP470" s="300"/>
      <c r="AQ470" s="300"/>
      <c r="AR470" s="303"/>
    </row>
    <row r="471" spans="1:44" hidden="1" x14ac:dyDescent="0.2">
      <c r="A471" s="270"/>
      <c r="B471" s="271"/>
      <c r="C471" s="272" t="s">
        <v>286</v>
      </c>
      <c r="D471" s="272"/>
      <c r="E471" s="272"/>
      <c r="F471" s="272"/>
      <c r="G471" s="272"/>
      <c r="H471" s="272"/>
      <c r="I471" s="272"/>
      <c r="J471" s="272"/>
      <c r="K471" s="272"/>
      <c r="L471" s="272"/>
      <c r="M471" s="272"/>
      <c r="N471" s="272"/>
      <c r="O471" s="272"/>
      <c r="P471" s="272"/>
      <c r="Q471" s="272"/>
      <c r="R471" s="272"/>
      <c r="S471" s="272"/>
      <c r="T471" s="272"/>
      <c r="U471" s="272"/>
      <c r="V471" s="272"/>
      <c r="W471" s="272"/>
      <c r="X471" s="272"/>
      <c r="Y471" s="272"/>
      <c r="Z471" s="272"/>
      <c r="AA471" s="272"/>
      <c r="AB471" s="272"/>
      <c r="AC471" s="272"/>
      <c r="AD471" s="272"/>
      <c r="AE471" s="272"/>
      <c r="AF471" s="272"/>
      <c r="AG471" s="273"/>
      <c r="AH471" s="272"/>
      <c r="AI471" s="274"/>
      <c r="AJ471" s="272"/>
      <c r="AK471" s="272"/>
      <c r="AL471" s="273"/>
      <c r="AM471" s="273"/>
      <c r="AN471" s="273"/>
      <c r="AO471" s="273"/>
      <c r="AP471" s="273"/>
      <c r="AQ471" s="273"/>
      <c r="AR471" s="275"/>
    </row>
    <row r="472" spans="1:44" ht="45" hidden="1" x14ac:dyDescent="0.2">
      <c r="A472" s="276"/>
      <c r="B472" s="277"/>
      <c r="C472" s="278" t="s">
        <v>278</v>
      </c>
      <c r="D472" s="279" t="s">
        <v>279</v>
      </c>
      <c r="E472" s="278"/>
      <c r="F472" s="278"/>
      <c r="G472" s="280">
        <v>2019</v>
      </c>
      <c r="H472" s="280">
        <v>2020</v>
      </c>
      <c r="I472" s="280">
        <v>2021</v>
      </c>
      <c r="J472" s="280">
        <v>2022</v>
      </c>
      <c r="K472" s="280">
        <v>2023</v>
      </c>
      <c r="L472" s="281">
        <v>45352</v>
      </c>
      <c r="M472" s="280">
        <v>2024</v>
      </c>
      <c r="N472" s="278">
        <v>2025</v>
      </c>
      <c r="O472" s="278">
        <v>2026</v>
      </c>
      <c r="P472" s="278">
        <v>2027</v>
      </c>
      <c r="Q472" s="278">
        <v>2028</v>
      </c>
      <c r="R472" s="278">
        <v>2029</v>
      </c>
      <c r="S472" s="278">
        <v>2030</v>
      </c>
      <c r="T472" s="278">
        <v>2031</v>
      </c>
      <c r="U472" s="278">
        <v>2032</v>
      </c>
      <c r="V472" s="278">
        <v>2033</v>
      </c>
      <c r="W472" s="278">
        <v>2034</v>
      </c>
      <c r="X472" s="278">
        <v>2035</v>
      </c>
      <c r="Y472" s="278">
        <v>2036</v>
      </c>
      <c r="Z472" s="278">
        <v>2037</v>
      </c>
      <c r="AA472" s="278">
        <v>2038</v>
      </c>
      <c r="AB472" s="278">
        <v>2039</v>
      </c>
      <c r="AC472" s="278">
        <v>2040</v>
      </c>
      <c r="AD472" s="278">
        <v>2041</v>
      </c>
      <c r="AE472" s="278">
        <v>2042</v>
      </c>
      <c r="AF472" s="278">
        <v>2043</v>
      </c>
      <c r="AG472" s="278">
        <v>2044</v>
      </c>
      <c r="AH472" s="278">
        <v>2045</v>
      </c>
      <c r="AI472" s="278">
        <v>2046</v>
      </c>
      <c r="AJ472" s="278">
        <v>2047</v>
      </c>
      <c r="AK472" s="278">
        <v>2048</v>
      </c>
      <c r="AL472" s="278">
        <v>2049</v>
      </c>
      <c r="AM472" s="278">
        <v>2050</v>
      </c>
      <c r="AN472" s="278">
        <v>2051</v>
      </c>
      <c r="AO472" s="278">
        <v>2052</v>
      </c>
      <c r="AP472" s="278">
        <v>2053</v>
      </c>
      <c r="AQ472" s="278">
        <v>2054</v>
      </c>
      <c r="AR472" s="282">
        <v>2055</v>
      </c>
    </row>
    <row r="473" spans="1:44" hidden="1" x14ac:dyDescent="0.2">
      <c r="A473" s="283"/>
      <c r="B473" s="284"/>
      <c r="C473" s="285"/>
      <c r="D473" s="286"/>
      <c r="E473" s="287"/>
      <c r="F473" s="285"/>
      <c r="G473" s="285" t="s">
        <v>243</v>
      </c>
      <c r="H473" s="285" t="s">
        <v>243</v>
      </c>
      <c r="I473" s="285" t="s">
        <v>243</v>
      </c>
      <c r="J473" s="285" t="s">
        <v>243</v>
      </c>
      <c r="K473" s="285" t="s">
        <v>243</v>
      </c>
      <c r="L473" s="285" t="s">
        <v>244</v>
      </c>
      <c r="M473" s="285" t="s">
        <v>245</v>
      </c>
      <c r="N473" s="285"/>
      <c r="O473" s="285"/>
      <c r="P473" s="285"/>
      <c r="Q473" s="285"/>
      <c r="R473" s="285"/>
      <c r="S473" s="285"/>
      <c r="T473" s="285"/>
      <c r="U473" s="288"/>
      <c r="V473" s="289"/>
      <c r="W473" s="285"/>
      <c r="X473" s="285"/>
      <c r="Y473" s="285"/>
      <c r="Z473" s="285"/>
      <c r="AA473" s="285"/>
      <c r="AB473" s="285"/>
      <c r="AC473" s="285"/>
      <c r="AD473" s="285"/>
      <c r="AE473" s="285"/>
      <c r="AF473" s="285"/>
      <c r="AG473" s="285"/>
      <c r="AH473" s="285"/>
      <c r="AI473" s="285"/>
      <c r="AJ473" s="285"/>
      <c r="AK473" s="285"/>
      <c r="AL473" s="285"/>
      <c r="AM473" s="285"/>
      <c r="AN473" s="285"/>
      <c r="AO473" s="285"/>
      <c r="AP473" s="285"/>
      <c r="AQ473" s="285"/>
      <c r="AR473" s="290"/>
    </row>
    <row r="474" spans="1:44" hidden="1" x14ac:dyDescent="0.2">
      <c r="A474" s="283"/>
      <c r="B474" s="291">
        <v>1</v>
      </c>
      <c r="C474" s="283" t="s">
        <v>220</v>
      </c>
      <c r="D474" s="292" t="s">
        <v>221</v>
      </c>
      <c r="E474" s="283"/>
      <c r="F474" s="283"/>
      <c r="G474" s="293"/>
      <c r="H474" s="293"/>
      <c r="I474" s="293"/>
      <c r="J474" s="293"/>
      <c r="K474" s="293"/>
      <c r="L474" s="293"/>
      <c r="M474" s="293"/>
      <c r="N474" s="293">
        <v>0</v>
      </c>
      <c r="O474" s="293">
        <v>0</v>
      </c>
      <c r="P474" s="293">
        <v>0</v>
      </c>
      <c r="Q474" s="293">
        <v>0</v>
      </c>
      <c r="R474" s="294">
        <v>0</v>
      </c>
      <c r="S474" s="294">
        <v>0</v>
      </c>
      <c r="T474" s="294">
        <v>0</v>
      </c>
      <c r="U474" s="294">
        <v>0</v>
      </c>
      <c r="V474" s="294">
        <v>0</v>
      </c>
      <c r="W474" s="294">
        <v>0</v>
      </c>
      <c r="X474" s="294">
        <v>0</v>
      </c>
      <c r="Y474" s="294">
        <v>0</v>
      </c>
      <c r="Z474" s="294">
        <v>0</v>
      </c>
      <c r="AA474" s="294">
        <v>0</v>
      </c>
      <c r="AB474" s="294">
        <v>0</v>
      </c>
      <c r="AC474" s="294">
        <v>0</v>
      </c>
      <c r="AD474" s="294">
        <v>0</v>
      </c>
      <c r="AE474" s="294">
        <v>0</v>
      </c>
      <c r="AF474" s="294">
        <v>0</v>
      </c>
      <c r="AG474" s="294">
        <v>0</v>
      </c>
      <c r="AH474" s="294">
        <v>0</v>
      </c>
      <c r="AI474" s="294">
        <v>0</v>
      </c>
      <c r="AJ474" s="294">
        <v>0</v>
      </c>
      <c r="AK474" s="294">
        <v>0</v>
      </c>
      <c r="AL474" s="294">
        <v>0</v>
      </c>
      <c r="AM474" s="294">
        <v>0</v>
      </c>
      <c r="AN474" s="294">
        <v>0</v>
      </c>
      <c r="AO474" s="294">
        <v>0</v>
      </c>
      <c r="AP474" s="294">
        <v>0</v>
      </c>
      <c r="AQ474" s="294">
        <v>0</v>
      </c>
      <c r="AR474" s="295">
        <v>0</v>
      </c>
    </row>
    <row r="475" spans="1:44" hidden="1" x14ac:dyDescent="0.2">
      <c r="A475" s="283"/>
      <c r="B475" s="291">
        <v>2</v>
      </c>
      <c r="C475" s="283" t="s">
        <v>222</v>
      </c>
      <c r="D475" s="292" t="s">
        <v>223</v>
      </c>
      <c r="E475" s="283"/>
      <c r="F475" s="283"/>
      <c r="G475" s="293"/>
      <c r="H475" s="293"/>
      <c r="I475" s="293"/>
      <c r="J475" s="293"/>
      <c r="K475" s="293"/>
      <c r="L475" s="293"/>
      <c r="M475" s="293"/>
      <c r="N475" s="293">
        <v>1740.5371900826447</v>
      </c>
      <c r="O475" s="293">
        <v>1740.5371900826447</v>
      </c>
      <c r="P475" s="293">
        <v>1740.5371900826447</v>
      </c>
      <c r="Q475" s="293">
        <v>1740.5371900826447</v>
      </c>
      <c r="R475" s="294">
        <v>1740.5371900826447</v>
      </c>
      <c r="S475" s="294">
        <v>1740.5371900826447</v>
      </c>
      <c r="T475" s="294">
        <v>1740.5371900826447</v>
      </c>
      <c r="U475" s="294">
        <v>1740.5371900826447</v>
      </c>
      <c r="V475" s="294">
        <v>1740.5371900826447</v>
      </c>
      <c r="W475" s="294">
        <v>1740.5371900826447</v>
      </c>
      <c r="X475" s="294">
        <v>1740.5371900826447</v>
      </c>
      <c r="Y475" s="294">
        <v>1740.5371900826447</v>
      </c>
      <c r="Z475" s="294">
        <v>1740.5371900826447</v>
      </c>
      <c r="AA475" s="294">
        <v>1740.5371900826447</v>
      </c>
      <c r="AB475" s="294">
        <v>1740.5371900826447</v>
      </c>
      <c r="AC475" s="294">
        <v>1740.5371900826447</v>
      </c>
      <c r="AD475" s="294">
        <v>1740.5371900826447</v>
      </c>
      <c r="AE475" s="294">
        <v>1740.5371900826447</v>
      </c>
      <c r="AF475" s="294">
        <v>1740.5371900826447</v>
      </c>
      <c r="AG475" s="294">
        <v>1740.5371900826447</v>
      </c>
      <c r="AH475" s="294">
        <v>1740.5371900826447</v>
      </c>
      <c r="AI475" s="294">
        <v>1740.5371900826447</v>
      </c>
      <c r="AJ475" s="294">
        <v>1740.5371900826447</v>
      </c>
      <c r="AK475" s="294">
        <v>1740.5371900826447</v>
      </c>
      <c r="AL475" s="294">
        <v>1740.5371900826447</v>
      </c>
      <c r="AM475" s="294">
        <v>1740.5371900826447</v>
      </c>
      <c r="AN475" s="294">
        <v>1740.5371900826447</v>
      </c>
      <c r="AO475" s="294">
        <v>1740.5371900826447</v>
      </c>
      <c r="AP475" s="294">
        <v>1740.5371900826447</v>
      </c>
      <c r="AQ475" s="294">
        <v>1740.5371900826447</v>
      </c>
      <c r="AR475" s="295">
        <v>1740.5371900826447</v>
      </c>
    </row>
    <row r="476" spans="1:44" hidden="1" x14ac:dyDescent="0.2">
      <c r="A476" s="283"/>
      <c r="B476" s="291">
        <v>3</v>
      </c>
      <c r="C476" s="283" t="s">
        <v>224</v>
      </c>
      <c r="D476" s="292" t="s">
        <v>225</v>
      </c>
      <c r="E476" s="283"/>
      <c r="F476" s="283"/>
      <c r="G476" s="293"/>
      <c r="H476" s="293"/>
      <c r="I476" s="293"/>
      <c r="J476" s="293"/>
      <c r="K476" s="293"/>
      <c r="L476" s="293"/>
      <c r="M476" s="293"/>
      <c r="N476" s="293">
        <v>0</v>
      </c>
      <c r="O476" s="293">
        <v>0</v>
      </c>
      <c r="P476" s="293">
        <v>0</v>
      </c>
      <c r="Q476" s="293">
        <v>0</v>
      </c>
      <c r="R476" s="294">
        <v>0</v>
      </c>
      <c r="S476" s="294">
        <v>0</v>
      </c>
      <c r="T476" s="294">
        <v>0</v>
      </c>
      <c r="U476" s="294">
        <v>0</v>
      </c>
      <c r="V476" s="294">
        <v>0</v>
      </c>
      <c r="W476" s="294">
        <v>0</v>
      </c>
      <c r="X476" s="294">
        <v>0</v>
      </c>
      <c r="Y476" s="294">
        <v>0</v>
      </c>
      <c r="Z476" s="294">
        <v>0</v>
      </c>
      <c r="AA476" s="294">
        <v>0</v>
      </c>
      <c r="AB476" s="294">
        <v>0</v>
      </c>
      <c r="AC476" s="294">
        <v>0</v>
      </c>
      <c r="AD476" s="294">
        <v>0</v>
      </c>
      <c r="AE476" s="294">
        <v>0</v>
      </c>
      <c r="AF476" s="294">
        <v>0</v>
      </c>
      <c r="AG476" s="294">
        <v>0</v>
      </c>
      <c r="AH476" s="294">
        <v>0</v>
      </c>
      <c r="AI476" s="294">
        <v>0</v>
      </c>
      <c r="AJ476" s="294">
        <v>0</v>
      </c>
      <c r="AK476" s="294">
        <v>0</v>
      </c>
      <c r="AL476" s="294">
        <v>0</v>
      </c>
      <c r="AM476" s="294">
        <v>0</v>
      </c>
      <c r="AN476" s="294">
        <v>0</v>
      </c>
      <c r="AO476" s="294">
        <v>0</v>
      </c>
      <c r="AP476" s="294">
        <v>0</v>
      </c>
      <c r="AQ476" s="294">
        <v>0</v>
      </c>
      <c r="AR476" s="295">
        <v>0</v>
      </c>
    </row>
    <row r="477" spans="1:44" hidden="1" x14ac:dyDescent="0.2">
      <c r="A477" s="283"/>
      <c r="B477" s="291">
        <v>4</v>
      </c>
      <c r="C477" s="283" t="s">
        <v>226</v>
      </c>
      <c r="D477" s="292" t="s">
        <v>227</v>
      </c>
      <c r="E477" s="283"/>
      <c r="F477" s="283"/>
      <c r="G477" s="293"/>
      <c r="H477" s="293"/>
      <c r="I477" s="293"/>
      <c r="J477" s="293"/>
      <c r="K477" s="293"/>
      <c r="L477" s="293"/>
      <c r="M477" s="293"/>
      <c r="N477" s="293">
        <v>0</v>
      </c>
      <c r="O477" s="293">
        <v>0</v>
      </c>
      <c r="P477" s="293">
        <v>0</v>
      </c>
      <c r="Q477" s="293">
        <v>0</v>
      </c>
      <c r="R477" s="294">
        <v>0</v>
      </c>
      <c r="S477" s="294">
        <v>0</v>
      </c>
      <c r="T477" s="294">
        <v>0</v>
      </c>
      <c r="U477" s="294">
        <v>0</v>
      </c>
      <c r="V477" s="294">
        <v>0</v>
      </c>
      <c r="W477" s="294">
        <v>0</v>
      </c>
      <c r="X477" s="294">
        <v>0</v>
      </c>
      <c r="Y477" s="294">
        <v>0</v>
      </c>
      <c r="Z477" s="294">
        <v>0</v>
      </c>
      <c r="AA477" s="294">
        <v>0</v>
      </c>
      <c r="AB477" s="294">
        <v>0</v>
      </c>
      <c r="AC477" s="294">
        <v>0</v>
      </c>
      <c r="AD477" s="294">
        <v>0</v>
      </c>
      <c r="AE477" s="294">
        <v>0</v>
      </c>
      <c r="AF477" s="294">
        <v>0</v>
      </c>
      <c r="AG477" s="294">
        <v>0</v>
      </c>
      <c r="AH477" s="294">
        <v>0</v>
      </c>
      <c r="AI477" s="294">
        <v>0</v>
      </c>
      <c r="AJ477" s="294">
        <v>0</v>
      </c>
      <c r="AK477" s="294">
        <v>0</v>
      </c>
      <c r="AL477" s="294">
        <v>0</v>
      </c>
      <c r="AM477" s="294">
        <v>0</v>
      </c>
      <c r="AN477" s="294">
        <v>0</v>
      </c>
      <c r="AO477" s="294">
        <v>0</v>
      </c>
      <c r="AP477" s="294">
        <v>0</v>
      </c>
      <c r="AQ477" s="294">
        <v>0</v>
      </c>
      <c r="AR477" s="295">
        <v>0</v>
      </c>
    </row>
    <row r="478" spans="1:44" hidden="1" x14ac:dyDescent="0.2">
      <c r="A478" s="283"/>
      <c r="B478" s="291">
        <v>5</v>
      </c>
      <c r="C478" s="283" t="s">
        <v>228</v>
      </c>
      <c r="D478" s="292" t="s">
        <v>221</v>
      </c>
      <c r="E478" s="283"/>
      <c r="F478" s="283"/>
      <c r="G478" s="293"/>
      <c r="H478" s="293"/>
      <c r="I478" s="293"/>
      <c r="J478" s="293"/>
      <c r="K478" s="293"/>
      <c r="L478" s="293"/>
      <c r="M478" s="293"/>
      <c r="N478" s="293">
        <v>0</v>
      </c>
      <c r="O478" s="293">
        <v>0</v>
      </c>
      <c r="P478" s="293">
        <v>0</v>
      </c>
      <c r="Q478" s="293">
        <v>0</v>
      </c>
      <c r="R478" s="294">
        <v>0</v>
      </c>
      <c r="S478" s="294">
        <v>0</v>
      </c>
      <c r="T478" s="294">
        <v>0</v>
      </c>
      <c r="U478" s="294">
        <v>0</v>
      </c>
      <c r="V478" s="294">
        <v>0</v>
      </c>
      <c r="W478" s="294">
        <v>0</v>
      </c>
      <c r="X478" s="294">
        <v>0</v>
      </c>
      <c r="Y478" s="294">
        <v>0</v>
      </c>
      <c r="Z478" s="294">
        <v>0</v>
      </c>
      <c r="AA478" s="294">
        <v>0</v>
      </c>
      <c r="AB478" s="294">
        <v>0</v>
      </c>
      <c r="AC478" s="294">
        <v>0</v>
      </c>
      <c r="AD478" s="294">
        <v>0</v>
      </c>
      <c r="AE478" s="294">
        <v>0</v>
      </c>
      <c r="AF478" s="294">
        <v>0</v>
      </c>
      <c r="AG478" s="294">
        <v>0</v>
      </c>
      <c r="AH478" s="294">
        <v>0</v>
      </c>
      <c r="AI478" s="294">
        <v>0</v>
      </c>
      <c r="AJ478" s="294">
        <v>0</v>
      </c>
      <c r="AK478" s="294">
        <v>0</v>
      </c>
      <c r="AL478" s="294">
        <v>0</v>
      </c>
      <c r="AM478" s="294">
        <v>0</v>
      </c>
      <c r="AN478" s="294">
        <v>0</v>
      </c>
      <c r="AO478" s="294">
        <v>0</v>
      </c>
      <c r="AP478" s="294">
        <v>0</v>
      </c>
      <c r="AQ478" s="294">
        <v>0</v>
      </c>
      <c r="AR478" s="295">
        <v>0</v>
      </c>
    </row>
    <row r="479" spans="1:44" hidden="1" x14ac:dyDescent="0.2">
      <c r="A479" s="283"/>
      <c r="B479" s="291">
        <v>6</v>
      </c>
      <c r="C479" s="283" t="s">
        <v>229</v>
      </c>
      <c r="D479" s="292" t="s">
        <v>230</v>
      </c>
      <c r="E479" s="283"/>
      <c r="F479" s="283"/>
      <c r="G479" s="293"/>
      <c r="H479" s="293"/>
      <c r="I479" s="293"/>
      <c r="J479" s="293"/>
      <c r="K479" s="293"/>
      <c r="L479" s="293"/>
      <c r="M479" s="293"/>
      <c r="N479" s="293">
        <v>0</v>
      </c>
      <c r="O479" s="293">
        <v>0</v>
      </c>
      <c r="P479" s="293">
        <v>0</v>
      </c>
      <c r="Q479" s="293">
        <v>0</v>
      </c>
      <c r="R479" s="294">
        <v>0</v>
      </c>
      <c r="S479" s="294">
        <v>0</v>
      </c>
      <c r="T479" s="294">
        <v>0</v>
      </c>
      <c r="U479" s="294">
        <v>0</v>
      </c>
      <c r="V479" s="294">
        <v>0</v>
      </c>
      <c r="W479" s="294">
        <v>0</v>
      </c>
      <c r="X479" s="294">
        <v>0</v>
      </c>
      <c r="Y479" s="294">
        <v>0</v>
      </c>
      <c r="Z479" s="294">
        <v>0</v>
      </c>
      <c r="AA479" s="294">
        <v>0</v>
      </c>
      <c r="AB479" s="294">
        <v>0</v>
      </c>
      <c r="AC479" s="294">
        <v>0</v>
      </c>
      <c r="AD479" s="294">
        <v>0</v>
      </c>
      <c r="AE479" s="294">
        <v>0</v>
      </c>
      <c r="AF479" s="294">
        <v>0</v>
      </c>
      <c r="AG479" s="294">
        <v>0</v>
      </c>
      <c r="AH479" s="294">
        <v>0</v>
      </c>
      <c r="AI479" s="294">
        <v>0</v>
      </c>
      <c r="AJ479" s="294">
        <v>0</v>
      </c>
      <c r="AK479" s="294">
        <v>0</v>
      </c>
      <c r="AL479" s="294">
        <v>0</v>
      </c>
      <c r="AM479" s="294">
        <v>0</v>
      </c>
      <c r="AN479" s="294">
        <v>0</v>
      </c>
      <c r="AO479" s="294">
        <v>0</v>
      </c>
      <c r="AP479" s="294">
        <v>0</v>
      </c>
      <c r="AQ479" s="294">
        <v>0</v>
      </c>
      <c r="AR479" s="295">
        <v>0</v>
      </c>
    </row>
    <row r="480" spans="1:44" hidden="1" x14ac:dyDescent="0.2">
      <c r="A480" s="283"/>
      <c r="B480" s="291">
        <v>7</v>
      </c>
      <c r="C480" s="283" t="s">
        <v>231</v>
      </c>
      <c r="D480" s="292" t="s">
        <v>225</v>
      </c>
      <c r="E480" s="283"/>
      <c r="F480" s="283"/>
      <c r="G480" s="293"/>
      <c r="H480" s="293"/>
      <c r="I480" s="293"/>
      <c r="J480" s="293"/>
      <c r="K480" s="293"/>
      <c r="L480" s="293"/>
      <c r="M480" s="293"/>
      <c r="N480" s="293">
        <v>0</v>
      </c>
      <c r="O480" s="293">
        <v>0</v>
      </c>
      <c r="P480" s="293">
        <v>0</v>
      </c>
      <c r="Q480" s="293">
        <v>0</v>
      </c>
      <c r="R480" s="294">
        <v>0</v>
      </c>
      <c r="S480" s="294">
        <v>0</v>
      </c>
      <c r="T480" s="294">
        <v>0</v>
      </c>
      <c r="U480" s="294">
        <v>0</v>
      </c>
      <c r="V480" s="294">
        <v>0</v>
      </c>
      <c r="W480" s="294">
        <v>0</v>
      </c>
      <c r="X480" s="294">
        <v>0</v>
      </c>
      <c r="Y480" s="294">
        <v>0</v>
      </c>
      <c r="Z480" s="294">
        <v>0</v>
      </c>
      <c r="AA480" s="294">
        <v>0</v>
      </c>
      <c r="AB480" s="294">
        <v>0</v>
      </c>
      <c r="AC480" s="294">
        <v>0</v>
      </c>
      <c r="AD480" s="294">
        <v>0</v>
      </c>
      <c r="AE480" s="294">
        <v>0</v>
      </c>
      <c r="AF480" s="294">
        <v>0</v>
      </c>
      <c r="AG480" s="294">
        <v>0</v>
      </c>
      <c r="AH480" s="294">
        <v>0</v>
      </c>
      <c r="AI480" s="294">
        <v>0</v>
      </c>
      <c r="AJ480" s="294">
        <v>0</v>
      </c>
      <c r="AK480" s="294">
        <v>0</v>
      </c>
      <c r="AL480" s="294">
        <v>0</v>
      </c>
      <c r="AM480" s="294">
        <v>0</v>
      </c>
      <c r="AN480" s="294">
        <v>0</v>
      </c>
      <c r="AO480" s="294">
        <v>0</v>
      </c>
      <c r="AP480" s="294">
        <v>0</v>
      </c>
      <c r="AQ480" s="294">
        <v>0</v>
      </c>
      <c r="AR480" s="295">
        <v>0</v>
      </c>
    </row>
    <row r="481" spans="1:44" hidden="1" x14ac:dyDescent="0.2">
      <c r="A481" s="283"/>
      <c r="B481" s="291">
        <v>8</v>
      </c>
      <c r="C481" s="283" t="s">
        <v>232</v>
      </c>
      <c r="D481" s="292" t="s">
        <v>233</v>
      </c>
      <c r="E481" s="283"/>
      <c r="F481" s="283"/>
      <c r="G481" s="293"/>
      <c r="H481" s="293"/>
      <c r="I481" s="293"/>
      <c r="J481" s="293"/>
      <c r="K481" s="293"/>
      <c r="L481" s="293"/>
      <c r="M481" s="293"/>
      <c r="N481" s="293">
        <v>475924.40082644636</v>
      </c>
      <c r="O481" s="293">
        <v>475924.40082644636</v>
      </c>
      <c r="P481" s="293">
        <v>475924.40082644636</v>
      </c>
      <c r="Q481" s="293">
        <v>475924.40082644636</v>
      </c>
      <c r="R481" s="294">
        <v>475924.40082644636</v>
      </c>
      <c r="S481" s="294">
        <v>475924.40082644636</v>
      </c>
      <c r="T481" s="294">
        <v>475924.40082644636</v>
      </c>
      <c r="U481" s="294">
        <v>475924.40082644636</v>
      </c>
      <c r="V481" s="294">
        <v>475924.40082644636</v>
      </c>
      <c r="W481" s="294">
        <v>475924.40082644636</v>
      </c>
      <c r="X481" s="294">
        <v>475924.40082644636</v>
      </c>
      <c r="Y481" s="294">
        <v>475924.40082644636</v>
      </c>
      <c r="Z481" s="294">
        <v>475924.40082644636</v>
      </c>
      <c r="AA481" s="294">
        <v>475924.40082644636</v>
      </c>
      <c r="AB481" s="294">
        <v>475924.40082644636</v>
      </c>
      <c r="AC481" s="294">
        <v>475924.40082644636</v>
      </c>
      <c r="AD481" s="294">
        <v>475924.40082644636</v>
      </c>
      <c r="AE481" s="294">
        <v>475924.40082644636</v>
      </c>
      <c r="AF481" s="294">
        <v>475924.40082644636</v>
      </c>
      <c r="AG481" s="294">
        <v>475924.40082644636</v>
      </c>
      <c r="AH481" s="294">
        <v>475924.40082644636</v>
      </c>
      <c r="AI481" s="294">
        <v>475924.40082644636</v>
      </c>
      <c r="AJ481" s="294">
        <v>475924.40082644636</v>
      </c>
      <c r="AK481" s="294">
        <v>475924.40082644636</v>
      </c>
      <c r="AL481" s="294">
        <v>475924.40082644636</v>
      </c>
      <c r="AM481" s="294">
        <v>475924.40082644636</v>
      </c>
      <c r="AN481" s="294">
        <v>475924.40082644636</v>
      </c>
      <c r="AO481" s="294">
        <v>475924.40082644636</v>
      </c>
      <c r="AP481" s="294">
        <v>475924.40082644636</v>
      </c>
      <c r="AQ481" s="294">
        <v>475924.40082644636</v>
      </c>
      <c r="AR481" s="295">
        <v>475924.40082644636</v>
      </c>
    </row>
    <row r="482" spans="1:44" hidden="1" x14ac:dyDescent="0.2">
      <c r="B482" s="304"/>
      <c r="C482" s="158" t="s">
        <v>84</v>
      </c>
      <c r="D482" s="159"/>
      <c r="E482" s="158"/>
      <c r="F482" s="158"/>
      <c r="G482" s="297">
        <v>0</v>
      </c>
      <c r="H482" s="297">
        <v>0</v>
      </c>
      <c r="I482" s="297">
        <v>0</v>
      </c>
      <c r="J482" s="297">
        <v>0</v>
      </c>
      <c r="K482" s="297">
        <v>0</v>
      </c>
      <c r="L482" s="297">
        <v>0</v>
      </c>
      <c r="M482" s="297">
        <v>0</v>
      </c>
      <c r="N482" s="298">
        <v>477664.93801652902</v>
      </c>
      <c r="O482" s="298">
        <v>477664.93801652902</v>
      </c>
      <c r="P482" s="298">
        <v>477664.93801652902</v>
      </c>
      <c r="Q482" s="298">
        <v>477664.93801652902</v>
      </c>
      <c r="R482" s="298">
        <v>477664.93801652902</v>
      </c>
      <c r="S482" s="298">
        <v>477664.93801652902</v>
      </c>
      <c r="T482" s="298">
        <v>477664.93801652902</v>
      </c>
      <c r="U482" s="298">
        <v>477664.93801652902</v>
      </c>
      <c r="V482" s="298">
        <v>477664.93801652902</v>
      </c>
      <c r="W482" s="298">
        <v>477664.93801652902</v>
      </c>
      <c r="X482" s="298">
        <v>477664.93801652902</v>
      </c>
      <c r="Y482" s="298">
        <v>477664.93801652902</v>
      </c>
      <c r="Z482" s="298">
        <v>477664.93801652902</v>
      </c>
      <c r="AA482" s="298">
        <v>477664.93801652902</v>
      </c>
      <c r="AB482" s="298">
        <v>477664.93801652902</v>
      </c>
      <c r="AC482" s="298">
        <v>477664.93801652902</v>
      </c>
      <c r="AD482" s="298">
        <v>477664.93801652902</v>
      </c>
      <c r="AE482" s="298">
        <v>477664.93801652902</v>
      </c>
      <c r="AF482" s="298">
        <v>477664.93801652902</v>
      </c>
      <c r="AG482" s="298">
        <v>477664.93801652902</v>
      </c>
      <c r="AH482" s="298">
        <v>477664.93801652902</v>
      </c>
      <c r="AI482" s="298">
        <v>477664.93801652902</v>
      </c>
      <c r="AJ482" s="298">
        <v>477664.93801652902</v>
      </c>
      <c r="AK482" s="298">
        <v>477664.93801652902</v>
      </c>
      <c r="AL482" s="298">
        <v>477664.93801652902</v>
      </c>
      <c r="AM482" s="298">
        <v>477664.93801652902</v>
      </c>
      <c r="AN482" s="298">
        <v>477664.93801652902</v>
      </c>
      <c r="AO482" s="298">
        <v>477664.93801652902</v>
      </c>
      <c r="AP482" s="298">
        <v>477664.93801652902</v>
      </c>
      <c r="AQ482" s="298">
        <v>477664.93801652902</v>
      </c>
      <c r="AR482" s="299">
        <v>477664.93801652902</v>
      </c>
    </row>
    <row r="483" spans="1:44" hidden="1" x14ac:dyDescent="0.2">
      <c r="A483" s="300"/>
      <c r="B483" s="301"/>
      <c r="C483" s="300"/>
      <c r="D483" s="300"/>
      <c r="E483" s="300"/>
      <c r="F483" s="300"/>
      <c r="G483" s="302"/>
      <c r="H483" s="302"/>
      <c r="I483" s="302"/>
      <c r="J483" s="302"/>
      <c r="K483" s="302"/>
      <c r="L483" s="302"/>
      <c r="M483" s="302"/>
      <c r="N483" s="302"/>
      <c r="O483" s="302"/>
      <c r="P483" s="302"/>
      <c r="Q483" s="300"/>
      <c r="R483" s="300"/>
      <c r="S483" s="300"/>
      <c r="T483" s="300"/>
      <c r="U483" s="300"/>
      <c r="V483" s="300"/>
      <c r="W483" s="300"/>
      <c r="X483" s="300"/>
      <c r="Y483" s="300"/>
      <c r="Z483" s="300"/>
      <c r="AA483" s="300"/>
      <c r="AB483" s="300"/>
      <c r="AC483" s="300"/>
      <c r="AD483" s="300"/>
      <c r="AE483" s="300"/>
      <c r="AF483" s="300"/>
      <c r="AG483" s="300"/>
      <c r="AH483" s="300"/>
      <c r="AI483" s="300"/>
      <c r="AJ483" s="300"/>
      <c r="AK483" s="300"/>
      <c r="AL483" s="300"/>
      <c r="AM483" s="300"/>
      <c r="AN483" s="300"/>
      <c r="AO483" s="300"/>
      <c r="AP483" s="300"/>
      <c r="AQ483" s="300"/>
      <c r="AR483" s="303"/>
    </row>
    <row r="484" spans="1:44" hidden="1" x14ac:dyDescent="0.2">
      <c r="A484" s="270"/>
      <c r="B484" s="271"/>
      <c r="C484" s="272" t="s">
        <v>287</v>
      </c>
      <c r="D484" s="272"/>
      <c r="E484" s="272"/>
      <c r="F484" s="272"/>
      <c r="G484" s="272"/>
      <c r="H484" s="272"/>
      <c r="I484" s="272"/>
      <c r="J484" s="272"/>
      <c r="K484" s="272"/>
      <c r="L484" s="272"/>
      <c r="M484" s="272"/>
      <c r="N484" s="272"/>
      <c r="O484" s="272"/>
      <c r="P484" s="272"/>
      <c r="Q484" s="272"/>
      <c r="R484" s="272"/>
      <c r="S484" s="272"/>
      <c r="T484" s="272"/>
      <c r="U484" s="272"/>
      <c r="V484" s="272"/>
      <c r="W484" s="272"/>
      <c r="X484" s="272"/>
      <c r="Y484" s="272"/>
      <c r="Z484" s="272"/>
      <c r="AA484" s="272"/>
      <c r="AB484" s="272"/>
      <c r="AC484" s="272"/>
      <c r="AD484" s="272"/>
      <c r="AE484" s="272"/>
      <c r="AF484" s="272"/>
      <c r="AG484" s="273"/>
      <c r="AH484" s="272"/>
      <c r="AI484" s="274"/>
      <c r="AJ484" s="272"/>
      <c r="AK484" s="272"/>
      <c r="AL484" s="273"/>
      <c r="AM484" s="273"/>
      <c r="AN484" s="273"/>
      <c r="AO484" s="273"/>
      <c r="AP484" s="273"/>
      <c r="AQ484" s="273"/>
      <c r="AR484" s="275"/>
    </row>
    <row r="485" spans="1:44" ht="45" hidden="1" x14ac:dyDescent="0.2">
      <c r="A485" s="276"/>
      <c r="B485" s="277"/>
      <c r="C485" s="278" t="s">
        <v>278</v>
      </c>
      <c r="D485" s="279" t="s">
        <v>279</v>
      </c>
      <c r="E485" s="278"/>
      <c r="F485" s="278"/>
      <c r="G485" s="280">
        <v>2019</v>
      </c>
      <c r="H485" s="280">
        <v>2020</v>
      </c>
      <c r="I485" s="280">
        <v>2021</v>
      </c>
      <c r="J485" s="280">
        <v>2022</v>
      </c>
      <c r="K485" s="280">
        <v>2023</v>
      </c>
      <c r="L485" s="281">
        <v>45352</v>
      </c>
      <c r="M485" s="280">
        <v>2024</v>
      </c>
      <c r="N485" s="278">
        <v>2025</v>
      </c>
      <c r="O485" s="278">
        <v>2026</v>
      </c>
      <c r="P485" s="278">
        <v>2027</v>
      </c>
      <c r="Q485" s="278">
        <v>2028</v>
      </c>
      <c r="R485" s="278">
        <v>2029</v>
      </c>
      <c r="S485" s="278">
        <v>2030</v>
      </c>
      <c r="T485" s="278">
        <v>2031</v>
      </c>
      <c r="U485" s="278">
        <v>2032</v>
      </c>
      <c r="V485" s="278">
        <v>2033</v>
      </c>
      <c r="W485" s="278">
        <v>2034</v>
      </c>
      <c r="X485" s="278">
        <v>2035</v>
      </c>
      <c r="Y485" s="278">
        <v>2036</v>
      </c>
      <c r="Z485" s="278">
        <v>2037</v>
      </c>
      <c r="AA485" s="278">
        <v>2038</v>
      </c>
      <c r="AB485" s="278">
        <v>2039</v>
      </c>
      <c r="AC485" s="278">
        <v>2040</v>
      </c>
      <c r="AD485" s="278">
        <v>2041</v>
      </c>
      <c r="AE485" s="278">
        <v>2042</v>
      </c>
      <c r="AF485" s="278">
        <v>2043</v>
      </c>
      <c r="AG485" s="278">
        <v>2044</v>
      </c>
      <c r="AH485" s="278">
        <v>2045</v>
      </c>
      <c r="AI485" s="278">
        <v>2046</v>
      </c>
      <c r="AJ485" s="278">
        <v>2047</v>
      </c>
      <c r="AK485" s="278">
        <v>2048</v>
      </c>
      <c r="AL485" s="278">
        <v>2049</v>
      </c>
      <c r="AM485" s="278">
        <v>2050</v>
      </c>
      <c r="AN485" s="278">
        <v>2051</v>
      </c>
      <c r="AO485" s="278">
        <v>2052</v>
      </c>
      <c r="AP485" s="278">
        <v>2053</v>
      </c>
      <c r="AQ485" s="278">
        <v>2054</v>
      </c>
      <c r="AR485" s="282">
        <v>2055</v>
      </c>
    </row>
    <row r="486" spans="1:44" hidden="1" x14ac:dyDescent="0.2">
      <c r="A486" s="283"/>
      <c r="B486" s="284"/>
      <c r="C486" s="285"/>
      <c r="D486" s="286"/>
      <c r="E486" s="287"/>
      <c r="F486" s="285"/>
      <c r="G486" s="285" t="s">
        <v>243</v>
      </c>
      <c r="H486" s="285" t="s">
        <v>243</v>
      </c>
      <c r="I486" s="285" t="s">
        <v>243</v>
      </c>
      <c r="J486" s="285" t="s">
        <v>243</v>
      </c>
      <c r="K486" s="285" t="s">
        <v>243</v>
      </c>
      <c r="L486" s="285" t="s">
        <v>244</v>
      </c>
      <c r="M486" s="285" t="s">
        <v>245</v>
      </c>
      <c r="N486" s="285"/>
      <c r="O486" s="285"/>
      <c r="P486" s="285"/>
      <c r="Q486" s="285"/>
      <c r="R486" s="285"/>
      <c r="S486" s="285"/>
      <c r="T486" s="285"/>
      <c r="U486" s="288"/>
      <c r="V486" s="289"/>
      <c r="W486" s="285"/>
      <c r="X486" s="285"/>
      <c r="Y486" s="285"/>
      <c r="Z486" s="285"/>
      <c r="AA486" s="285"/>
      <c r="AB486" s="285"/>
      <c r="AC486" s="285"/>
      <c r="AD486" s="285"/>
      <c r="AE486" s="285"/>
      <c r="AF486" s="285"/>
      <c r="AG486" s="285"/>
      <c r="AH486" s="285"/>
      <c r="AI486" s="285"/>
      <c r="AJ486" s="285"/>
      <c r="AK486" s="285"/>
      <c r="AL486" s="285"/>
      <c r="AM486" s="285"/>
      <c r="AN486" s="285"/>
      <c r="AO486" s="285"/>
      <c r="AP486" s="285"/>
      <c r="AQ486" s="285"/>
      <c r="AR486" s="290"/>
    </row>
    <row r="487" spans="1:44" hidden="1" x14ac:dyDescent="0.2">
      <c r="A487" s="283"/>
      <c r="B487" s="291"/>
      <c r="C487" s="283" t="s">
        <v>232</v>
      </c>
      <c r="D487" s="292" t="s">
        <v>288</v>
      </c>
      <c r="E487" s="311">
        <v>0.96</v>
      </c>
      <c r="F487" s="283"/>
      <c r="G487" s="293"/>
      <c r="H487" s="293"/>
      <c r="I487" s="293"/>
      <c r="J487" s="293"/>
      <c r="K487" s="293"/>
      <c r="L487" s="293"/>
      <c r="M487" s="293">
        <v>99483.463645400814</v>
      </c>
      <c r="N487" s="293">
        <v>108047.50430354859</v>
      </c>
      <c r="O487" s="293">
        <v>117349.45252132528</v>
      </c>
      <c r="P487" s="293">
        <v>127452.22389740654</v>
      </c>
      <c r="Q487" s="293">
        <v>138424.76346173784</v>
      </c>
      <c r="R487" s="294">
        <v>150341.95195939377</v>
      </c>
      <c r="S487" s="294">
        <v>163285.11688127977</v>
      </c>
      <c r="T487" s="294">
        <v>177342.58749201993</v>
      </c>
      <c r="U487" s="294">
        <v>192610.29764300515</v>
      </c>
      <c r="V487" s="294">
        <v>209192.4404847066</v>
      </c>
      <c r="W487" s="294">
        <v>227202.17954657067</v>
      </c>
      <c r="X487" s="294">
        <v>246762.42103751781</v>
      </c>
      <c r="Y487" s="294">
        <v>268006.65263790218</v>
      </c>
      <c r="Z487" s="294">
        <v>291079.85450758558</v>
      </c>
      <c r="AA487" s="294">
        <v>316139.48872766487</v>
      </c>
      <c r="AB487" s="294">
        <v>343356.57392869215</v>
      </c>
      <c r="AC487" s="294">
        <v>372916.85243963893</v>
      </c>
      <c r="AD487" s="294">
        <v>405022.05792330432</v>
      </c>
      <c r="AE487" s="294">
        <v>439891.29214969801</v>
      </c>
      <c r="AF487" s="294">
        <v>477762.52030379954</v>
      </c>
      <c r="AG487" s="294">
        <v>518894.19503310474</v>
      </c>
      <c r="AH487" s="294">
        <v>563567.02031902259</v>
      </c>
      <c r="AI487" s="294">
        <v>612085.86721050867</v>
      </c>
      <c r="AJ487" s="294">
        <v>664781.85449478554</v>
      </c>
      <c r="AK487" s="294">
        <v>722014.60850572085</v>
      </c>
      <c r="AL487" s="294">
        <v>784174.71749307134</v>
      </c>
      <c r="AM487" s="294">
        <v>851686.39730370522</v>
      </c>
      <c r="AN487" s="294">
        <v>925010.38656814583</v>
      </c>
      <c r="AO487" s="294">
        <v>1004647.091152202</v>
      </c>
      <c r="AP487" s="294">
        <v>1091139.9993347088</v>
      </c>
      <c r="AQ487" s="294">
        <v>1185079.3910201769</v>
      </c>
      <c r="AR487" s="295">
        <v>1226946.8936447301</v>
      </c>
    </row>
    <row r="488" spans="1:44" hidden="1" x14ac:dyDescent="0.2">
      <c r="A488" s="283"/>
      <c r="B488" s="291"/>
      <c r="C488" s="283"/>
      <c r="D488" s="292"/>
      <c r="E488" s="283"/>
      <c r="F488" s="283"/>
      <c r="G488" s="293"/>
      <c r="H488" s="293"/>
      <c r="I488" s="293"/>
      <c r="J488" s="293"/>
      <c r="K488" s="293"/>
      <c r="L488" s="293"/>
      <c r="M488" s="293"/>
      <c r="N488" s="293"/>
      <c r="O488" s="293"/>
      <c r="P488" s="293"/>
      <c r="Q488" s="293"/>
      <c r="R488" s="294"/>
      <c r="S488" s="294"/>
      <c r="T488" s="294"/>
      <c r="U488" s="294"/>
      <c r="V488" s="294"/>
      <c r="W488" s="294"/>
      <c r="X488" s="294"/>
      <c r="Y488" s="294"/>
      <c r="Z488" s="294"/>
      <c r="AA488" s="294"/>
      <c r="AB488" s="294"/>
      <c r="AC488" s="294"/>
      <c r="AD488" s="294"/>
      <c r="AE488" s="294"/>
      <c r="AF488" s="294"/>
      <c r="AG488" s="294"/>
      <c r="AH488" s="294"/>
      <c r="AI488" s="294"/>
      <c r="AJ488" s="294"/>
      <c r="AK488" s="294"/>
      <c r="AL488" s="294"/>
      <c r="AM488" s="294"/>
      <c r="AN488" s="294"/>
      <c r="AO488" s="294"/>
      <c r="AP488" s="294"/>
      <c r="AQ488" s="294"/>
      <c r="AR488" s="295"/>
    </row>
    <row r="489" spans="1:44" hidden="1" x14ac:dyDescent="0.2">
      <c r="A489" s="270"/>
      <c r="B489" s="271"/>
      <c r="C489" s="272" t="s">
        <v>283</v>
      </c>
      <c r="D489" s="272"/>
      <c r="E489" s="272"/>
      <c r="F489" s="272"/>
      <c r="G489" s="272"/>
      <c r="H489" s="272"/>
      <c r="I489" s="272"/>
      <c r="J489" s="272"/>
      <c r="K489" s="272"/>
      <c r="L489" s="272"/>
      <c r="M489" s="272"/>
      <c r="N489" s="272"/>
      <c r="O489" s="272"/>
      <c r="P489" s="272"/>
      <c r="Q489" s="272"/>
      <c r="R489" s="272"/>
      <c r="S489" s="272"/>
      <c r="T489" s="272"/>
      <c r="U489" s="272"/>
      <c r="V489" s="272"/>
      <c r="W489" s="272"/>
      <c r="X489" s="272"/>
      <c r="Y489" s="272"/>
      <c r="Z489" s="272"/>
      <c r="AA489" s="272"/>
      <c r="AB489" s="272"/>
      <c r="AC489" s="272"/>
      <c r="AD489" s="272"/>
      <c r="AE489" s="272"/>
      <c r="AF489" s="272"/>
      <c r="AG489" s="273"/>
      <c r="AH489" s="272"/>
      <c r="AI489" s="274"/>
      <c r="AJ489" s="272"/>
      <c r="AK489" s="272"/>
      <c r="AL489" s="273"/>
      <c r="AM489" s="273"/>
      <c r="AN489" s="273"/>
      <c r="AO489" s="273"/>
      <c r="AP489" s="273"/>
      <c r="AQ489" s="273"/>
      <c r="AR489" s="275"/>
    </row>
    <row r="490" spans="1:44" ht="45" hidden="1" x14ac:dyDescent="0.2">
      <c r="A490" s="276"/>
      <c r="B490" s="277"/>
      <c r="C490" s="278" t="s">
        <v>278</v>
      </c>
      <c r="D490" s="279" t="s">
        <v>279</v>
      </c>
      <c r="E490" s="278"/>
      <c r="F490" s="278"/>
      <c r="G490" s="280">
        <v>2019</v>
      </c>
      <c r="H490" s="280">
        <v>2020</v>
      </c>
      <c r="I490" s="280">
        <v>2021</v>
      </c>
      <c r="J490" s="280">
        <v>2022</v>
      </c>
      <c r="K490" s="280">
        <v>2023</v>
      </c>
      <c r="L490" s="281">
        <v>45352</v>
      </c>
      <c r="M490" s="280">
        <v>2024</v>
      </c>
      <c r="N490" s="278">
        <v>2025</v>
      </c>
      <c r="O490" s="278">
        <v>2026</v>
      </c>
      <c r="P490" s="278">
        <v>2027</v>
      </c>
      <c r="Q490" s="278">
        <v>2028</v>
      </c>
      <c r="R490" s="278">
        <v>2029</v>
      </c>
      <c r="S490" s="278">
        <v>2030</v>
      </c>
      <c r="T490" s="278">
        <v>2031</v>
      </c>
      <c r="U490" s="278">
        <v>2032</v>
      </c>
      <c r="V490" s="278">
        <v>2033</v>
      </c>
      <c r="W490" s="278">
        <v>2034</v>
      </c>
      <c r="X490" s="278">
        <v>2035</v>
      </c>
      <c r="Y490" s="278">
        <v>2036</v>
      </c>
      <c r="Z490" s="278">
        <v>2037</v>
      </c>
      <c r="AA490" s="278">
        <v>2038</v>
      </c>
      <c r="AB490" s="278">
        <v>2039</v>
      </c>
      <c r="AC490" s="278">
        <v>2040</v>
      </c>
      <c r="AD490" s="278">
        <v>2041</v>
      </c>
      <c r="AE490" s="278">
        <v>2042</v>
      </c>
      <c r="AF490" s="278">
        <v>2043</v>
      </c>
      <c r="AG490" s="278">
        <v>2044</v>
      </c>
      <c r="AH490" s="278">
        <v>2045</v>
      </c>
      <c r="AI490" s="278">
        <v>2046</v>
      </c>
      <c r="AJ490" s="278">
        <v>2047</v>
      </c>
      <c r="AK490" s="278">
        <v>2048</v>
      </c>
      <c r="AL490" s="278">
        <v>2049</v>
      </c>
      <c r="AM490" s="278">
        <v>2050</v>
      </c>
      <c r="AN490" s="278">
        <v>2051</v>
      </c>
      <c r="AO490" s="278">
        <v>2052</v>
      </c>
      <c r="AP490" s="278">
        <v>2053</v>
      </c>
      <c r="AQ490" s="278">
        <v>2054</v>
      </c>
      <c r="AR490" s="282">
        <v>2055</v>
      </c>
    </row>
    <row r="491" spans="1:44" hidden="1" x14ac:dyDescent="0.2">
      <c r="A491" s="283"/>
      <c r="B491" s="284"/>
      <c r="C491" s="285"/>
      <c r="D491" s="286"/>
      <c r="E491" s="287"/>
      <c r="F491" s="285"/>
      <c r="G491" s="285" t="s">
        <v>243</v>
      </c>
      <c r="H491" s="285" t="s">
        <v>243</v>
      </c>
      <c r="I491" s="285" t="s">
        <v>243</v>
      </c>
      <c r="J491" s="285" t="s">
        <v>243</v>
      </c>
      <c r="K491" s="285" t="s">
        <v>243</v>
      </c>
      <c r="L491" s="285" t="s">
        <v>244</v>
      </c>
      <c r="M491" s="285" t="s">
        <v>245</v>
      </c>
      <c r="N491" s="285"/>
      <c r="O491" s="285"/>
      <c r="P491" s="285"/>
      <c r="Q491" s="285"/>
      <c r="R491" s="285"/>
      <c r="S491" s="285"/>
      <c r="T491" s="285"/>
      <c r="U491" s="288"/>
      <c r="V491" s="289"/>
      <c r="W491" s="285"/>
      <c r="X491" s="285"/>
      <c r="Y491" s="285"/>
      <c r="Z491" s="285"/>
      <c r="AA491" s="285"/>
      <c r="AB491" s="285"/>
      <c r="AC491" s="285"/>
      <c r="AD491" s="285"/>
      <c r="AE491" s="285"/>
      <c r="AF491" s="285"/>
      <c r="AG491" s="285"/>
      <c r="AH491" s="285"/>
      <c r="AI491" s="285"/>
      <c r="AJ491" s="285"/>
      <c r="AK491" s="285"/>
      <c r="AL491" s="285"/>
      <c r="AM491" s="285"/>
      <c r="AN491" s="285"/>
      <c r="AO491" s="285"/>
      <c r="AP491" s="285"/>
      <c r="AQ491" s="285"/>
      <c r="AR491" s="290"/>
    </row>
    <row r="492" spans="1:44" hidden="1" x14ac:dyDescent="0.2">
      <c r="A492" s="283"/>
      <c r="B492" s="291">
        <v>1</v>
      </c>
      <c r="C492" s="283" t="s">
        <v>220</v>
      </c>
      <c r="D492" s="292" t="s">
        <v>221</v>
      </c>
      <c r="E492" s="283"/>
      <c r="F492" s="283"/>
      <c r="G492" s="293"/>
      <c r="H492" s="293"/>
      <c r="I492" s="293"/>
      <c r="J492" s="293"/>
      <c r="K492" s="293"/>
      <c r="L492" s="293"/>
      <c r="M492" s="293"/>
      <c r="N492" s="293">
        <v>49056.366869550991</v>
      </c>
      <c r="O492" s="293">
        <v>50088.888954267095</v>
      </c>
      <c r="P492" s="293">
        <v>51143.143220215883</v>
      </c>
      <c r="Q492" s="293">
        <v>52219.58707911583</v>
      </c>
      <c r="R492" s="294">
        <v>53318.687570135051</v>
      </c>
      <c r="S492" s="294">
        <v>43552.737250021302</v>
      </c>
      <c r="T492" s="294">
        <v>34140.560909721302</v>
      </c>
      <c r="U492" s="294">
        <v>23788.843346690919</v>
      </c>
      <c r="V492" s="294">
        <v>12431.893018758117</v>
      </c>
      <c r="W492" s="294">
        <v>0</v>
      </c>
      <c r="X492" s="294">
        <v>0</v>
      </c>
      <c r="Y492" s="294">
        <v>0</v>
      </c>
      <c r="Z492" s="294">
        <v>0</v>
      </c>
      <c r="AA492" s="294">
        <v>0</v>
      </c>
      <c r="AB492" s="294">
        <v>0</v>
      </c>
      <c r="AC492" s="294">
        <v>0</v>
      </c>
      <c r="AD492" s="294">
        <v>0</v>
      </c>
      <c r="AE492" s="294">
        <v>0</v>
      </c>
      <c r="AF492" s="294">
        <v>0</v>
      </c>
      <c r="AG492" s="294">
        <v>0</v>
      </c>
      <c r="AH492" s="294">
        <v>0</v>
      </c>
      <c r="AI492" s="294">
        <v>0</v>
      </c>
      <c r="AJ492" s="294">
        <v>0</v>
      </c>
      <c r="AK492" s="294">
        <v>0</v>
      </c>
      <c r="AL492" s="294">
        <v>0</v>
      </c>
      <c r="AM492" s="294">
        <v>0</v>
      </c>
      <c r="AN492" s="294">
        <v>0</v>
      </c>
      <c r="AO492" s="294">
        <v>0</v>
      </c>
      <c r="AP492" s="294">
        <v>0</v>
      </c>
      <c r="AQ492" s="294">
        <v>0</v>
      </c>
      <c r="AR492" s="295">
        <v>0</v>
      </c>
    </row>
    <row r="493" spans="1:44" hidden="1" x14ac:dyDescent="0.2">
      <c r="A493" s="283"/>
      <c r="B493" s="291">
        <v>2</v>
      </c>
      <c r="C493" s="283" t="s">
        <v>222</v>
      </c>
      <c r="D493" s="292" t="s">
        <v>223</v>
      </c>
      <c r="E493" s="283"/>
      <c r="F493" s="283"/>
      <c r="G493" s="293"/>
      <c r="H493" s="293"/>
      <c r="I493" s="293"/>
      <c r="J493" s="293"/>
      <c r="K493" s="293"/>
      <c r="L493" s="293"/>
      <c r="M493" s="293"/>
      <c r="N493" s="293">
        <v>202625.72649159137</v>
      </c>
      <c r="O493" s="293">
        <v>206329.5637380477</v>
      </c>
      <c r="P493" s="293">
        <v>210107.83682817066</v>
      </c>
      <c r="Q493" s="293">
        <v>213962.09382229488</v>
      </c>
      <c r="R493" s="294">
        <v>217893.9155932377</v>
      </c>
      <c r="S493" s="294">
        <v>221904.91653189805</v>
      </c>
      <c r="T493" s="294">
        <v>227609.82534672198</v>
      </c>
      <c r="U493" s="294">
        <v>233504.08713120196</v>
      </c>
      <c r="V493" s="294">
        <v>239594.96365377487</v>
      </c>
      <c r="W493" s="294">
        <v>245890.0186662593</v>
      </c>
      <c r="X493" s="294">
        <v>252397.13100279839</v>
      </c>
      <c r="Y493" s="294">
        <v>257759.3052155503</v>
      </c>
      <c r="Z493" s="294">
        <v>261921.86214281386</v>
      </c>
      <c r="AA493" s="294">
        <v>266159.49725349102</v>
      </c>
      <c r="AB493" s="294">
        <v>270473.65797755093</v>
      </c>
      <c r="AC493" s="294">
        <v>274865.82106807595</v>
      </c>
      <c r="AD493" s="294">
        <v>279237.88644177048</v>
      </c>
      <c r="AE493" s="294">
        <v>283688.45282957476</v>
      </c>
      <c r="AF493" s="294">
        <v>288219.03990355995</v>
      </c>
      <c r="AG493" s="294">
        <v>292831.19837968505</v>
      </c>
      <c r="AH493" s="294">
        <v>297526.51067793084</v>
      </c>
      <c r="AI493" s="294">
        <v>302306.59159690898</v>
      </c>
      <c r="AJ493" s="294">
        <v>307173.08900326886</v>
      </c>
      <c r="AK493" s="294">
        <v>312127.68453623715</v>
      </c>
      <c r="AL493" s="294">
        <v>317172.09432762745</v>
      </c>
      <c r="AM493" s="294">
        <v>322308.06973767036</v>
      </c>
      <c r="AN493" s="294">
        <v>327537.39810701762</v>
      </c>
      <c r="AO493" s="294">
        <v>332861.90352528624</v>
      </c>
      <c r="AP493" s="294">
        <v>338283.44761651318</v>
      </c>
      <c r="AQ493" s="294">
        <v>343803.93034190254</v>
      </c>
      <c r="AR493" s="295">
        <v>349425.29082025494</v>
      </c>
    </row>
    <row r="494" spans="1:44" hidden="1" x14ac:dyDescent="0.2">
      <c r="A494" s="283"/>
      <c r="B494" s="291">
        <v>3</v>
      </c>
      <c r="C494" s="283" t="s">
        <v>224</v>
      </c>
      <c r="D494" s="292" t="s">
        <v>225</v>
      </c>
      <c r="E494" s="283"/>
      <c r="F494" s="283"/>
      <c r="G494" s="293"/>
      <c r="H494" s="293"/>
      <c r="I494" s="293"/>
      <c r="J494" s="293"/>
      <c r="K494" s="293"/>
      <c r="L494" s="293"/>
      <c r="M494" s="293"/>
      <c r="N494" s="293">
        <v>0</v>
      </c>
      <c r="O494" s="293">
        <v>0</v>
      </c>
      <c r="P494" s="293">
        <v>0</v>
      </c>
      <c r="Q494" s="293">
        <v>0</v>
      </c>
      <c r="R494" s="294">
        <v>0</v>
      </c>
      <c r="S494" s="294">
        <v>0</v>
      </c>
      <c r="T494" s="294">
        <v>0</v>
      </c>
      <c r="U494" s="294">
        <v>0</v>
      </c>
      <c r="V494" s="294">
        <v>0</v>
      </c>
      <c r="W494" s="294">
        <v>0</v>
      </c>
      <c r="X494" s="294">
        <v>0</v>
      </c>
      <c r="Y494" s="294">
        <v>0</v>
      </c>
      <c r="Z494" s="294">
        <v>0</v>
      </c>
      <c r="AA494" s="294">
        <v>0</v>
      </c>
      <c r="AB494" s="294">
        <v>0</v>
      </c>
      <c r="AC494" s="294">
        <v>0</v>
      </c>
      <c r="AD494" s="294">
        <v>0</v>
      </c>
      <c r="AE494" s="294">
        <v>0</v>
      </c>
      <c r="AF494" s="294">
        <v>0</v>
      </c>
      <c r="AG494" s="294">
        <v>0</v>
      </c>
      <c r="AH494" s="294">
        <v>0</v>
      </c>
      <c r="AI494" s="294">
        <v>0</v>
      </c>
      <c r="AJ494" s="294">
        <v>0</v>
      </c>
      <c r="AK494" s="294">
        <v>0</v>
      </c>
      <c r="AL494" s="294">
        <v>0</v>
      </c>
      <c r="AM494" s="294">
        <v>0</v>
      </c>
      <c r="AN494" s="294">
        <v>0</v>
      </c>
      <c r="AO494" s="294">
        <v>0</v>
      </c>
      <c r="AP494" s="294">
        <v>0</v>
      </c>
      <c r="AQ494" s="294">
        <v>0</v>
      </c>
      <c r="AR494" s="295">
        <v>0</v>
      </c>
    </row>
    <row r="495" spans="1:44" hidden="1" x14ac:dyDescent="0.2">
      <c r="A495" s="283"/>
      <c r="B495" s="291">
        <v>4</v>
      </c>
      <c r="C495" s="283" t="s">
        <v>226</v>
      </c>
      <c r="D495" s="292" t="s">
        <v>227</v>
      </c>
      <c r="E495" s="283"/>
      <c r="F495" s="283"/>
      <c r="G495" s="293"/>
      <c r="H495" s="293"/>
      <c r="I495" s="293"/>
      <c r="J495" s="293"/>
      <c r="K495" s="293"/>
      <c r="L495" s="293"/>
      <c r="M495" s="293"/>
      <c r="N495" s="293">
        <v>1258678.3742149747</v>
      </c>
      <c r="O495" s="293">
        <v>1273613.6489381804</v>
      </c>
      <c r="P495" s="293">
        <v>1288847.3538538576</v>
      </c>
      <c r="Q495" s="293">
        <v>1304386.7940253743</v>
      </c>
      <c r="R495" s="294">
        <v>1233144.2013085533</v>
      </c>
      <c r="S495" s="294">
        <v>1167918.65810866</v>
      </c>
      <c r="T495" s="294">
        <v>1092003.0378120735</v>
      </c>
      <c r="U495" s="294">
        <v>1004328.6244696609</v>
      </c>
      <c r="V495" s="294">
        <v>959855.06959670759</v>
      </c>
      <c r="W495" s="294">
        <v>908490.40944252</v>
      </c>
      <c r="X495" s="294">
        <v>913312.7588078368</v>
      </c>
      <c r="Y495" s="294">
        <v>918122.04932972312</v>
      </c>
      <c r="Z495" s="294">
        <v>922958.62127889215</v>
      </c>
      <c r="AA495" s="294">
        <v>927822.65417706163</v>
      </c>
      <c r="AB495" s="294">
        <v>932714.32901817246</v>
      </c>
      <c r="AC495" s="294">
        <v>937633.8282834104</v>
      </c>
      <c r="AD495" s="294">
        <v>942547.02782675694</v>
      </c>
      <c r="AE495" s="294">
        <v>947487.54458270886</v>
      </c>
      <c r="AF495" s="294">
        <v>952455.54877359886</v>
      </c>
      <c r="AG495" s="294">
        <v>957451.21188410826</v>
      </c>
      <c r="AH495" s="294">
        <v>962474.70667260443</v>
      </c>
      <c r="AI495" s="294">
        <v>967526.2071826004</v>
      </c>
      <c r="AJ495" s="294">
        <v>972605.88875433116</v>
      </c>
      <c r="AK495" s="294">
        <v>977713.92803645111</v>
      </c>
      <c r="AL495" s="294">
        <v>982850.50299785542</v>
      </c>
      <c r="AM495" s="294">
        <v>988015.79293962428</v>
      </c>
      <c r="AN495" s="294">
        <v>993209.97850708955</v>
      </c>
      <c r="AO495" s="294">
        <v>998433.24170203286</v>
      </c>
      <c r="AP495" s="294">
        <v>1003685.7658950074</v>
      </c>
      <c r="AQ495" s="294">
        <v>1008967.735837791</v>
      </c>
      <c r="AR495" s="295">
        <v>1014279.3376759698</v>
      </c>
    </row>
    <row r="496" spans="1:44" hidden="1" x14ac:dyDescent="0.2">
      <c r="A496" s="283"/>
      <c r="B496" s="291">
        <v>5</v>
      </c>
      <c r="C496" s="283" t="s">
        <v>228</v>
      </c>
      <c r="D496" s="292" t="s">
        <v>221</v>
      </c>
      <c r="E496" s="283"/>
      <c r="F496" s="283"/>
      <c r="G496" s="293"/>
      <c r="H496" s="293"/>
      <c r="I496" s="293"/>
      <c r="J496" s="293"/>
      <c r="K496" s="293"/>
      <c r="L496" s="293"/>
      <c r="M496" s="293"/>
      <c r="N496" s="293">
        <v>631557.08543948317</v>
      </c>
      <c r="O496" s="293">
        <v>634714.87086668052</v>
      </c>
      <c r="P496" s="293">
        <v>637888.44522101386</v>
      </c>
      <c r="Q496" s="293">
        <v>641077.88744711876</v>
      </c>
      <c r="R496" s="294">
        <v>644283.27688435442</v>
      </c>
      <c r="S496" s="294">
        <v>518003.75461502071</v>
      </c>
      <c r="T496" s="294">
        <v>312356.26403285761</v>
      </c>
      <c r="U496" s="294">
        <v>125567.21814120877</v>
      </c>
      <c r="V496" s="294">
        <v>25239.010846382949</v>
      </c>
      <c r="W496" s="294">
        <v>0</v>
      </c>
      <c r="X496" s="294">
        <v>0</v>
      </c>
      <c r="Y496" s="294">
        <v>0</v>
      </c>
      <c r="Z496" s="294">
        <v>0</v>
      </c>
      <c r="AA496" s="294">
        <v>0</v>
      </c>
      <c r="AB496" s="294">
        <v>0</v>
      </c>
      <c r="AC496" s="294">
        <v>0</v>
      </c>
      <c r="AD496" s="294">
        <v>0</v>
      </c>
      <c r="AE496" s="294">
        <v>0</v>
      </c>
      <c r="AF496" s="294">
        <v>0</v>
      </c>
      <c r="AG496" s="294">
        <v>0</v>
      </c>
      <c r="AH496" s="294">
        <v>0</v>
      </c>
      <c r="AI496" s="294">
        <v>0</v>
      </c>
      <c r="AJ496" s="294">
        <v>0</v>
      </c>
      <c r="AK496" s="294">
        <v>0</v>
      </c>
      <c r="AL496" s="294">
        <v>0</v>
      </c>
      <c r="AM496" s="294">
        <v>0</v>
      </c>
      <c r="AN496" s="294">
        <v>0</v>
      </c>
      <c r="AO496" s="294">
        <v>0</v>
      </c>
      <c r="AP496" s="294">
        <v>0</v>
      </c>
      <c r="AQ496" s="294">
        <v>0</v>
      </c>
      <c r="AR496" s="295">
        <v>0</v>
      </c>
    </row>
    <row r="497" spans="1:44" hidden="1" x14ac:dyDescent="0.2">
      <c r="A497" s="283"/>
      <c r="B497" s="291">
        <v>6</v>
      </c>
      <c r="C497" s="283" t="s">
        <v>229</v>
      </c>
      <c r="D497" s="292" t="s">
        <v>230</v>
      </c>
      <c r="E497" s="283"/>
      <c r="F497" s="283"/>
      <c r="G497" s="293"/>
      <c r="H497" s="293"/>
      <c r="I497" s="293"/>
      <c r="J497" s="293"/>
      <c r="K497" s="293"/>
      <c r="L497" s="293"/>
      <c r="M497" s="293"/>
      <c r="N497" s="293">
        <v>2118007.3752160491</v>
      </c>
      <c r="O497" s="293">
        <v>2164478.5592334876</v>
      </c>
      <c r="P497" s="293">
        <v>2206244.0517524942</v>
      </c>
      <c r="Q497" s="293">
        <v>2248216.8991618743</v>
      </c>
      <c r="R497" s="294">
        <v>2290195.6508360785</v>
      </c>
      <c r="S497" s="294">
        <v>2332381.8162964322</v>
      </c>
      <c r="T497" s="294">
        <v>2374573.9452118645</v>
      </c>
      <c r="U497" s="294">
        <v>2424986.2617206397</v>
      </c>
      <c r="V497" s="294">
        <v>2471297.5043076379</v>
      </c>
      <c r="W497" s="294">
        <v>2517614.8002495463</v>
      </c>
      <c r="X497" s="294">
        <v>2563938.1798131401</v>
      </c>
      <c r="Y497" s="294">
        <v>2619086.3077375139</v>
      </c>
      <c r="Z497" s="294">
        <v>2665421.9459508932</v>
      </c>
      <c r="AA497" s="294">
        <v>2720179.4338183021</v>
      </c>
      <c r="AB497" s="294">
        <v>2770836.0307349241</v>
      </c>
      <c r="AC497" s="294">
        <v>2830116.01921329</v>
      </c>
      <c r="AD497" s="294">
        <v>2889402.2761186156</v>
      </c>
      <c r="AE497" s="294">
        <v>2943781.8156325421</v>
      </c>
      <c r="AF497" s="294">
        <v>3003483.6635749023</v>
      </c>
      <c r="AG497" s="294">
        <v>3054171.7601205548</v>
      </c>
      <c r="AH497" s="294">
        <v>3126207.657207577</v>
      </c>
      <c r="AI497" s="294">
        <v>3190035.7866862076</v>
      </c>
      <c r="AJ497" s="294">
        <v>3253668.8950109961</v>
      </c>
      <c r="AK497" s="294">
        <v>3321415.5916366694</v>
      </c>
      <c r="AL497" s="294">
        <v>3389571.7718584323</v>
      </c>
      <c r="AM497" s="294">
        <v>3457533.0282942676</v>
      </c>
      <c r="AN497" s="294">
        <v>3534118.0280462322</v>
      </c>
      <c r="AO497" s="294">
        <v>3607005.512577822</v>
      </c>
      <c r="AP497" s="294">
        <v>3679295.2121592294</v>
      </c>
      <c r="AQ497" s="294">
        <v>3760374.776578973</v>
      </c>
      <c r="AR497" s="295">
        <v>3837375.1425235961</v>
      </c>
    </row>
    <row r="498" spans="1:44" hidden="1" x14ac:dyDescent="0.2">
      <c r="A498" s="283"/>
      <c r="B498" s="291">
        <v>7</v>
      </c>
      <c r="C498" s="283" t="s">
        <v>231</v>
      </c>
      <c r="D498" s="292" t="s">
        <v>225</v>
      </c>
      <c r="E498" s="283"/>
      <c r="F498" s="283"/>
      <c r="G498" s="293"/>
      <c r="H498" s="293"/>
      <c r="I498" s="293"/>
      <c r="J498" s="293"/>
      <c r="K498" s="293"/>
      <c r="L498" s="293"/>
      <c r="M498" s="293"/>
      <c r="N498" s="293">
        <v>0</v>
      </c>
      <c r="O498" s="293">
        <v>0</v>
      </c>
      <c r="P498" s="293">
        <v>0</v>
      </c>
      <c r="Q498" s="293">
        <v>0</v>
      </c>
      <c r="R498" s="294">
        <v>0</v>
      </c>
      <c r="S498" s="294">
        <v>0</v>
      </c>
      <c r="T498" s="294">
        <v>0</v>
      </c>
      <c r="U498" s="294">
        <v>0</v>
      </c>
      <c r="V498" s="294">
        <v>0</v>
      </c>
      <c r="W498" s="294">
        <v>0</v>
      </c>
      <c r="X498" s="294">
        <v>0</v>
      </c>
      <c r="Y498" s="294">
        <v>0</v>
      </c>
      <c r="Z498" s="294">
        <v>0</v>
      </c>
      <c r="AA498" s="294">
        <v>0</v>
      </c>
      <c r="AB498" s="294">
        <v>0</v>
      </c>
      <c r="AC498" s="294">
        <v>0</v>
      </c>
      <c r="AD498" s="294">
        <v>0</v>
      </c>
      <c r="AE498" s="294">
        <v>0</v>
      </c>
      <c r="AF498" s="294">
        <v>0</v>
      </c>
      <c r="AG498" s="294">
        <v>0</v>
      </c>
      <c r="AH498" s="294">
        <v>0</v>
      </c>
      <c r="AI498" s="294">
        <v>0</v>
      </c>
      <c r="AJ498" s="294">
        <v>0</v>
      </c>
      <c r="AK498" s="294">
        <v>0</v>
      </c>
      <c r="AL498" s="294">
        <v>0</v>
      </c>
      <c r="AM498" s="294">
        <v>0</v>
      </c>
      <c r="AN498" s="294">
        <v>0</v>
      </c>
      <c r="AO498" s="294">
        <v>0</v>
      </c>
      <c r="AP498" s="294">
        <v>0</v>
      </c>
      <c r="AQ498" s="294">
        <v>0</v>
      </c>
      <c r="AR498" s="295">
        <v>0</v>
      </c>
    </row>
    <row r="499" spans="1:44" hidden="1" x14ac:dyDescent="0.2">
      <c r="A499" s="283"/>
      <c r="B499" s="291">
        <v>8</v>
      </c>
      <c r="C499" s="283" t="s">
        <v>232</v>
      </c>
      <c r="D499" s="292" t="s">
        <v>233</v>
      </c>
      <c r="E499" s="283"/>
      <c r="F499" s="283"/>
      <c r="G499" s="293"/>
      <c r="H499" s="293"/>
      <c r="I499" s="293"/>
      <c r="J499" s="293"/>
      <c r="K499" s="293"/>
      <c r="L499" s="293"/>
      <c r="M499" s="293"/>
      <c r="N499" s="293">
        <v>6742527.8308314588</v>
      </c>
      <c r="O499" s="293">
        <v>6837048.2785102408</v>
      </c>
      <c r="P499" s="293">
        <v>6933766.1810998237</v>
      </c>
      <c r="Q499" s="293">
        <v>7032774.2906132704</v>
      </c>
      <c r="R499" s="294">
        <v>7132590.1434195722</v>
      </c>
      <c r="S499" s="294">
        <v>7236457.6335247373</v>
      </c>
      <c r="T499" s="294">
        <v>7336250.1458780365</v>
      </c>
      <c r="U499" s="294">
        <v>7438567.2341891509</v>
      </c>
      <c r="V499" s="294">
        <v>7543534.3736761883</v>
      </c>
      <c r="W499" s="294">
        <v>7651286.3812109604</v>
      </c>
      <c r="X499" s="294">
        <v>7761968.1948185805</v>
      </c>
      <c r="Y499" s="294">
        <v>7867407.2719230913</v>
      </c>
      <c r="Z499" s="294">
        <v>7975866.0541693419</v>
      </c>
      <c r="AA499" s="294">
        <v>8087520.2890926301</v>
      </c>
      <c r="AB499" s="294">
        <v>8202559.5973099712</v>
      </c>
      <c r="AC499" s="294">
        <v>8658814.4910819661</v>
      </c>
      <c r="AD499" s="294">
        <v>8778463.1734175254</v>
      </c>
      <c r="AE499" s="294">
        <v>8902034.9403219484</v>
      </c>
      <c r="AF499" s="294">
        <v>9029784.9171019774</v>
      </c>
      <c r="AG499" s="294">
        <v>9161989.0163391996</v>
      </c>
      <c r="AH499" s="294">
        <v>9298945.7081276402</v>
      </c>
      <c r="AI499" s="294">
        <v>9440977.9423325174</v>
      </c>
      <c r="AJ499" s="294">
        <v>9588435.2359491922</v>
      </c>
      <c r="AK499" s="294">
        <v>9741695.9397676419</v>
      </c>
      <c r="AL499" s="294">
        <v>9901169.6997700613</v>
      </c>
      <c r="AM499" s="294">
        <v>10067300.130017595</v>
      </c>
      <c r="AN499" s="294">
        <v>10240567.715224402</v>
      </c>
      <c r="AO499" s="294">
        <v>10421492.962783894</v>
      </c>
      <c r="AP499" s="294">
        <v>10610639.825713292</v>
      </c>
      <c r="AQ499" s="294">
        <v>10808619.419830753</v>
      </c>
      <c r="AR499" s="295">
        <v>10955934.587828794</v>
      </c>
    </row>
    <row r="500" spans="1:44" ht="17" hidden="1" thickBot="1" x14ac:dyDescent="0.25">
      <c r="B500" s="305"/>
      <c r="C500" s="306" t="s">
        <v>84</v>
      </c>
      <c r="D500" s="307"/>
      <c r="E500" s="306"/>
      <c r="F500" s="306"/>
      <c r="G500" s="308">
        <v>0</v>
      </c>
      <c r="H500" s="308">
        <v>0</v>
      </c>
      <c r="I500" s="308">
        <v>0</v>
      </c>
      <c r="J500" s="308">
        <v>0</v>
      </c>
      <c r="K500" s="308">
        <v>0</v>
      </c>
      <c r="L500" s="308">
        <v>0</v>
      </c>
      <c r="M500" s="308">
        <v>0</v>
      </c>
      <c r="N500" s="309">
        <v>11002452.759063108</v>
      </c>
      <c r="O500" s="309">
        <v>11166273.810240904</v>
      </c>
      <c r="P500" s="309">
        <v>11327997.011975575</v>
      </c>
      <c r="Q500" s="309">
        <v>11492637.55214905</v>
      </c>
      <c r="R500" s="309">
        <v>11571425.875611931</v>
      </c>
      <c r="S500" s="309">
        <v>11520219.51632677</v>
      </c>
      <c r="T500" s="309">
        <v>11376933.779191276</v>
      </c>
      <c r="U500" s="309">
        <v>11250742.268998552</v>
      </c>
      <c r="V500" s="309">
        <v>11251952.81509945</v>
      </c>
      <c r="W500" s="309">
        <v>11323281.609569285</v>
      </c>
      <c r="X500" s="309">
        <v>11491616.264442356</v>
      </c>
      <c r="Y500" s="309">
        <v>11662374.934205879</v>
      </c>
      <c r="Z500" s="309">
        <v>11826168.483541941</v>
      </c>
      <c r="AA500" s="309">
        <v>12001681.874341484</v>
      </c>
      <c r="AB500" s="309">
        <v>12176583.615040619</v>
      </c>
      <c r="AC500" s="309">
        <v>12701430.159646742</v>
      </c>
      <c r="AD500" s="309">
        <v>12889650.363804668</v>
      </c>
      <c r="AE500" s="309">
        <v>13076992.753366774</v>
      </c>
      <c r="AF500" s="309">
        <v>13273943.169354038</v>
      </c>
      <c r="AG500" s="309">
        <v>13466443.186723549</v>
      </c>
      <c r="AH500" s="309">
        <v>13685154.582685754</v>
      </c>
      <c r="AI500" s="309">
        <v>13900846.527798235</v>
      </c>
      <c r="AJ500" s="309">
        <v>14121883.108717788</v>
      </c>
      <c r="AK500" s="309">
        <v>14352953.143976999</v>
      </c>
      <c r="AL500" s="309">
        <v>14590764.068953976</v>
      </c>
      <c r="AM500" s="309">
        <v>14835157.020989157</v>
      </c>
      <c r="AN500" s="309">
        <v>15095433.119884741</v>
      </c>
      <c r="AO500" s="309">
        <v>15359793.620589035</v>
      </c>
      <c r="AP500" s="309">
        <v>15631904.251384042</v>
      </c>
      <c r="AQ500" s="309">
        <v>15921765.862589419</v>
      </c>
      <c r="AR500" s="310">
        <v>16157014.358848616</v>
      </c>
    </row>
    <row r="501" spans="1:44" hidden="1" x14ac:dyDescent="0.2">
      <c r="B501" s="154"/>
      <c r="D501" s="155"/>
      <c r="G501" s="154"/>
      <c r="H501" s="154"/>
      <c r="I501" s="154"/>
      <c r="J501" s="154"/>
      <c r="K501" s="154"/>
      <c r="L501" s="206"/>
      <c r="W501" s="172"/>
    </row>
    <row r="502" spans="1:44" hidden="1" x14ac:dyDescent="0.2">
      <c r="B502" s="263"/>
      <c r="C502" s="264" t="s">
        <v>289</v>
      </c>
      <c r="D502" s="265"/>
      <c r="E502" s="266"/>
      <c r="F502" s="266"/>
      <c r="G502" s="267"/>
      <c r="H502" s="267"/>
      <c r="I502" s="267"/>
      <c r="J502" s="267"/>
      <c r="K502" s="267"/>
      <c r="L502" s="268"/>
      <c r="M502" s="267"/>
      <c r="N502" s="266"/>
      <c r="O502" s="266"/>
      <c r="P502" s="266"/>
      <c r="Q502" s="266"/>
      <c r="R502" s="266"/>
      <c r="S502" s="266"/>
      <c r="T502" s="266"/>
      <c r="U502" s="266"/>
      <c r="V502" s="266"/>
      <c r="W502" s="266"/>
      <c r="X502" s="266"/>
      <c r="Y502" s="266"/>
      <c r="Z502" s="266"/>
      <c r="AA502" s="266"/>
      <c r="AB502" s="266"/>
      <c r="AC502" s="266"/>
      <c r="AD502" s="266"/>
      <c r="AE502" s="266"/>
      <c r="AF502" s="266"/>
      <c r="AG502" s="266"/>
      <c r="AH502" s="266"/>
      <c r="AI502" s="266"/>
      <c r="AJ502" s="266"/>
      <c r="AK502" s="266"/>
      <c r="AL502" s="266"/>
      <c r="AM502" s="266"/>
      <c r="AN502" s="266"/>
      <c r="AO502" s="266"/>
      <c r="AP502" s="266"/>
      <c r="AQ502" s="266"/>
      <c r="AR502" s="269"/>
    </row>
    <row r="503" spans="1:44" hidden="1" x14ac:dyDescent="0.2">
      <c r="A503" s="270"/>
      <c r="B503" s="271"/>
      <c r="C503" s="272" t="s">
        <v>290</v>
      </c>
      <c r="D503" s="272"/>
      <c r="E503" s="272"/>
      <c r="F503" s="272"/>
      <c r="G503" s="272"/>
      <c r="H503" s="272"/>
      <c r="I503" s="272"/>
      <c r="J503" s="272"/>
      <c r="K503" s="272"/>
      <c r="L503" s="272"/>
      <c r="M503" s="272"/>
      <c r="N503" s="272"/>
      <c r="O503" s="272"/>
      <c r="P503" s="272"/>
      <c r="Q503" s="272"/>
      <c r="R503" s="272"/>
      <c r="S503" s="272"/>
      <c r="T503" s="272"/>
      <c r="U503" s="272"/>
      <c r="V503" s="272"/>
      <c r="W503" s="272"/>
      <c r="X503" s="272"/>
      <c r="Y503" s="272"/>
      <c r="Z503" s="272"/>
      <c r="AA503" s="272"/>
      <c r="AB503" s="272"/>
      <c r="AC503" s="272"/>
      <c r="AD503" s="272"/>
      <c r="AE503" s="272"/>
      <c r="AF503" s="272"/>
      <c r="AG503" s="273"/>
      <c r="AH503" s="272"/>
      <c r="AI503" s="274"/>
      <c r="AJ503" s="272"/>
      <c r="AK503" s="272"/>
      <c r="AL503" s="273"/>
      <c r="AM503" s="273"/>
      <c r="AN503" s="273"/>
      <c r="AO503" s="273"/>
      <c r="AP503" s="273"/>
      <c r="AQ503" s="273"/>
      <c r="AR503" s="275"/>
    </row>
    <row r="504" spans="1:44" ht="45" hidden="1" x14ac:dyDescent="0.2">
      <c r="A504" s="276"/>
      <c r="B504" s="277"/>
      <c r="C504" s="278" t="s">
        <v>278</v>
      </c>
      <c r="D504" s="279" t="s">
        <v>279</v>
      </c>
      <c r="E504" s="278"/>
      <c r="F504" s="278"/>
      <c r="G504" s="280">
        <v>2019</v>
      </c>
      <c r="H504" s="280">
        <v>2020</v>
      </c>
      <c r="I504" s="280">
        <v>2021</v>
      </c>
      <c r="J504" s="280">
        <v>2022</v>
      </c>
      <c r="K504" s="280">
        <v>2023</v>
      </c>
      <c r="L504" s="281">
        <v>45352</v>
      </c>
      <c r="M504" s="280">
        <v>2024</v>
      </c>
      <c r="N504" s="278">
        <v>2025</v>
      </c>
      <c r="O504" s="278">
        <v>2026</v>
      </c>
      <c r="P504" s="278">
        <v>2027</v>
      </c>
      <c r="Q504" s="278">
        <v>2028</v>
      </c>
      <c r="R504" s="278">
        <v>2029</v>
      </c>
      <c r="S504" s="278">
        <v>2030</v>
      </c>
      <c r="T504" s="278">
        <v>2031</v>
      </c>
      <c r="U504" s="278">
        <v>2032</v>
      </c>
      <c r="V504" s="278">
        <v>2033</v>
      </c>
      <c r="W504" s="278">
        <v>2034</v>
      </c>
      <c r="X504" s="278">
        <v>2035</v>
      </c>
      <c r="Y504" s="278">
        <v>2036</v>
      </c>
      <c r="Z504" s="278">
        <v>2037</v>
      </c>
      <c r="AA504" s="278">
        <v>2038</v>
      </c>
      <c r="AB504" s="278">
        <v>2039</v>
      </c>
      <c r="AC504" s="278">
        <v>2040</v>
      </c>
      <c r="AD504" s="278">
        <v>2041</v>
      </c>
      <c r="AE504" s="278">
        <v>2042</v>
      </c>
      <c r="AF504" s="278">
        <v>2043</v>
      </c>
      <c r="AG504" s="278">
        <v>2044</v>
      </c>
      <c r="AH504" s="278">
        <v>2045</v>
      </c>
      <c r="AI504" s="278">
        <v>2046</v>
      </c>
      <c r="AJ504" s="278">
        <v>2047</v>
      </c>
      <c r="AK504" s="278">
        <v>2048</v>
      </c>
      <c r="AL504" s="278">
        <v>2049</v>
      </c>
      <c r="AM504" s="278">
        <v>2050</v>
      </c>
      <c r="AN504" s="278">
        <v>2051</v>
      </c>
      <c r="AO504" s="278">
        <v>2052</v>
      </c>
      <c r="AP504" s="278">
        <v>2053</v>
      </c>
      <c r="AQ504" s="278">
        <v>2054</v>
      </c>
      <c r="AR504" s="282">
        <v>2055</v>
      </c>
    </row>
    <row r="505" spans="1:44" hidden="1" x14ac:dyDescent="0.2">
      <c r="A505" s="283"/>
      <c r="B505" s="284"/>
      <c r="C505" s="285"/>
      <c r="D505" s="286"/>
      <c r="E505" s="287"/>
      <c r="F505" s="285"/>
      <c r="G505" s="285" t="s">
        <v>243</v>
      </c>
      <c r="H505" s="285" t="s">
        <v>243</v>
      </c>
      <c r="I505" s="285" t="s">
        <v>243</v>
      </c>
      <c r="J505" s="285" t="s">
        <v>243</v>
      </c>
      <c r="K505" s="285" t="s">
        <v>243</v>
      </c>
      <c r="L505" s="285" t="s">
        <v>244</v>
      </c>
      <c r="M505" s="285" t="s">
        <v>245</v>
      </c>
      <c r="N505" s="285"/>
      <c r="O505" s="285"/>
      <c r="P505" s="285"/>
      <c r="Q505" s="285"/>
      <c r="R505" s="285"/>
      <c r="S505" s="285"/>
      <c r="T505" s="285"/>
      <c r="U505" s="288"/>
      <c r="V505" s="289"/>
      <c r="W505" s="285"/>
      <c r="X505" s="285"/>
      <c r="Y505" s="285"/>
      <c r="Z505" s="285"/>
      <c r="AA505" s="285"/>
      <c r="AB505" s="285"/>
      <c r="AC505" s="285"/>
      <c r="AD505" s="285"/>
      <c r="AE505" s="285"/>
      <c r="AF505" s="285"/>
      <c r="AG505" s="285"/>
      <c r="AH505" s="285"/>
      <c r="AI505" s="285"/>
      <c r="AJ505" s="285"/>
      <c r="AK505" s="285"/>
      <c r="AL505" s="285"/>
      <c r="AM505" s="285"/>
      <c r="AN505" s="285"/>
      <c r="AO505" s="285"/>
      <c r="AP505" s="285"/>
      <c r="AQ505" s="285"/>
      <c r="AR505" s="290"/>
    </row>
    <row r="506" spans="1:44" hidden="1" x14ac:dyDescent="0.2">
      <c r="A506" s="283"/>
      <c r="B506" s="291">
        <v>1</v>
      </c>
      <c r="C506" s="283" t="s">
        <v>220</v>
      </c>
      <c r="D506" s="292" t="s">
        <v>221</v>
      </c>
      <c r="E506" s="283"/>
      <c r="F506" s="283"/>
      <c r="G506" s="312"/>
      <c r="H506" s="312"/>
      <c r="I506" s="312"/>
      <c r="J506" s="312"/>
      <c r="K506" s="312"/>
      <c r="L506" s="312"/>
      <c r="M506" s="312"/>
      <c r="N506" s="312">
        <v>0.13440100512205752</v>
      </c>
      <c r="O506" s="312">
        <v>0.1372298327514167</v>
      </c>
      <c r="P506" s="312">
        <v>0.14011820060333119</v>
      </c>
      <c r="Q506" s="312">
        <v>0.14306736186059132</v>
      </c>
      <c r="R506" s="313">
        <v>0.14607859608256177</v>
      </c>
      <c r="S506" s="313">
        <v>0.11932256780827755</v>
      </c>
      <c r="T506" s="313">
        <v>9.3535783314304941E-2</v>
      </c>
      <c r="U506" s="313">
        <v>6.5174913278605265E-2</v>
      </c>
      <c r="V506" s="313">
        <v>3.4059980873309914E-2</v>
      </c>
      <c r="W506" s="313">
        <v>0</v>
      </c>
      <c r="X506" s="313">
        <v>0</v>
      </c>
      <c r="Y506" s="313">
        <v>0</v>
      </c>
      <c r="Z506" s="313">
        <v>0</v>
      </c>
      <c r="AA506" s="313">
        <v>0</v>
      </c>
      <c r="AB506" s="313">
        <v>0</v>
      </c>
      <c r="AC506" s="313">
        <v>0</v>
      </c>
      <c r="AD506" s="313">
        <v>0</v>
      </c>
      <c r="AE506" s="313">
        <v>0</v>
      </c>
      <c r="AF506" s="313">
        <v>0</v>
      </c>
      <c r="AG506" s="313">
        <v>0</v>
      </c>
      <c r="AH506" s="313">
        <v>0</v>
      </c>
      <c r="AI506" s="313">
        <v>0</v>
      </c>
      <c r="AJ506" s="313">
        <v>0</v>
      </c>
      <c r="AK506" s="313">
        <v>0</v>
      </c>
      <c r="AL506" s="313">
        <v>0</v>
      </c>
      <c r="AM506" s="313">
        <v>0</v>
      </c>
      <c r="AN506" s="313">
        <v>0</v>
      </c>
      <c r="AO506" s="313">
        <v>0</v>
      </c>
      <c r="AP506" s="313">
        <v>0</v>
      </c>
      <c r="AQ506" s="313">
        <v>0</v>
      </c>
      <c r="AR506" s="314">
        <v>0</v>
      </c>
    </row>
    <row r="507" spans="1:44" hidden="1" x14ac:dyDescent="0.2">
      <c r="A507" s="283"/>
      <c r="B507" s="291">
        <v>2</v>
      </c>
      <c r="C507" s="283" t="s">
        <v>222</v>
      </c>
      <c r="D507" s="292" t="s">
        <v>223</v>
      </c>
      <c r="E507" s="283"/>
      <c r="F507" s="283"/>
      <c r="G507" s="312"/>
      <c r="H507" s="312"/>
      <c r="I507" s="312"/>
      <c r="J507" s="312"/>
      <c r="K507" s="312"/>
      <c r="L507" s="312"/>
      <c r="M507" s="312"/>
      <c r="N507" s="312">
        <v>0.48533608412730794</v>
      </c>
      <c r="O507" s="312">
        <v>0.49515841194506449</v>
      </c>
      <c r="P507" s="312">
        <v>0.50518304772364775</v>
      </c>
      <c r="Q507" s="312">
        <v>0.51541422459496122</v>
      </c>
      <c r="R507" s="313">
        <v>0.52585626554747511</v>
      </c>
      <c r="S507" s="313">
        <v>0.53651358535917026</v>
      </c>
      <c r="T507" s="313">
        <v>0.55181009004792447</v>
      </c>
      <c r="U507" s="313">
        <v>0.56762370308363486</v>
      </c>
      <c r="V507" s="313">
        <v>0.58397431138773059</v>
      </c>
      <c r="W507" s="313">
        <v>0.60088262919169921</v>
      </c>
      <c r="X507" s="313">
        <v>0.61837023392439261</v>
      </c>
      <c r="Y507" s="313">
        <v>0.63271932137809217</v>
      </c>
      <c r="Z507" s="313">
        <v>0.64378007712782159</v>
      </c>
      <c r="AA507" s="313">
        <v>0.65504480898171702</v>
      </c>
      <c r="AB507" s="313">
        <v>0.66651747391359228</v>
      </c>
      <c r="AC507" s="313">
        <v>0.67820210919161972</v>
      </c>
      <c r="AD507" s="313">
        <v>0.68982993879046706</v>
      </c>
      <c r="AE507" s="313">
        <v>0.70167108750235319</v>
      </c>
      <c r="AF507" s="313">
        <v>0.71372971005161212</v>
      </c>
      <c r="AG507" s="313">
        <v>0.72601004617052145</v>
      </c>
      <c r="AH507" s="313">
        <v>0.73851642240766946</v>
      </c>
      <c r="AI507" s="313">
        <v>0.75125325397597864</v>
      </c>
      <c r="AJ507" s="313">
        <v>0.76422504664127167</v>
      </c>
      <c r="AK507" s="313">
        <v>0.77743639865229264</v>
      </c>
      <c r="AL507" s="313">
        <v>0.79089200271311444</v>
      </c>
      <c r="AM507" s="313">
        <v>0.80459664799888597</v>
      </c>
      <c r="AN507" s="313">
        <v>0.81855522221589228</v>
      </c>
      <c r="AO507" s="313">
        <v>0.83277271370692785</v>
      </c>
      <c r="AP507" s="313">
        <v>0.84725421360299924</v>
      </c>
      <c r="AQ507" s="313">
        <v>0.86200491802240387</v>
      </c>
      <c r="AR507" s="314">
        <v>0.87703013031825083</v>
      </c>
    </row>
    <row r="508" spans="1:44" hidden="1" x14ac:dyDescent="0.2">
      <c r="A508" s="283"/>
      <c r="B508" s="291">
        <v>3</v>
      </c>
      <c r="C508" s="283" t="s">
        <v>224</v>
      </c>
      <c r="D508" s="292" t="s">
        <v>225</v>
      </c>
      <c r="E508" s="283"/>
      <c r="F508" s="283"/>
      <c r="G508" s="312"/>
      <c r="H508" s="312"/>
      <c r="I508" s="312"/>
      <c r="J508" s="312"/>
      <c r="K508" s="312"/>
      <c r="L508" s="312"/>
      <c r="M508" s="312"/>
      <c r="N508" s="312">
        <v>0</v>
      </c>
      <c r="O508" s="312">
        <v>0</v>
      </c>
      <c r="P508" s="312">
        <v>0</v>
      </c>
      <c r="Q508" s="312">
        <v>0</v>
      </c>
      <c r="R508" s="313">
        <v>0</v>
      </c>
      <c r="S508" s="313">
        <v>0</v>
      </c>
      <c r="T508" s="313">
        <v>0</v>
      </c>
      <c r="U508" s="313">
        <v>0</v>
      </c>
      <c r="V508" s="313">
        <v>0</v>
      </c>
      <c r="W508" s="313">
        <v>0</v>
      </c>
      <c r="X508" s="313">
        <v>0</v>
      </c>
      <c r="Y508" s="313">
        <v>0</v>
      </c>
      <c r="Z508" s="313">
        <v>0</v>
      </c>
      <c r="AA508" s="313">
        <v>0</v>
      </c>
      <c r="AB508" s="313">
        <v>0</v>
      </c>
      <c r="AC508" s="313">
        <v>0</v>
      </c>
      <c r="AD508" s="313">
        <v>0</v>
      </c>
      <c r="AE508" s="313">
        <v>0</v>
      </c>
      <c r="AF508" s="313">
        <v>0</v>
      </c>
      <c r="AG508" s="313">
        <v>0</v>
      </c>
      <c r="AH508" s="313">
        <v>0</v>
      </c>
      <c r="AI508" s="313">
        <v>0</v>
      </c>
      <c r="AJ508" s="313">
        <v>0</v>
      </c>
      <c r="AK508" s="313">
        <v>0</v>
      </c>
      <c r="AL508" s="313">
        <v>0</v>
      </c>
      <c r="AM508" s="313">
        <v>0</v>
      </c>
      <c r="AN508" s="313">
        <v>0</v>
      </c>
      <c r="AO508" s="313">
        <v>0</v>
      </c>
      <c r="AP508" s="313">
        <v>0</v>
      </c>
      <c r="AQ508" s="313">
        <v>0</v>
      </c>
      <c r="AR508" s="314">
        <v>0</v>
      </c>
    </row>
    <row r="509" spans="1:44" hidden="1" x14ac:dyDescent="0.2">
      <c r="A509" s="283"/>
      <c r="B509" s="291">
        <v>4</v>
      </c>
      <c r="C509" s="283" t="s">
        <v>226</v>
      </c>
      <c r="D509" s="292" t="s">
        <v>227</v>
      </c>
      <c r="E509" s="283"/>
      <c r="F509" s="283"/>
      <c r="G509" s="312"/>
      <c r="H509" s="312"/>
      <c r="I509" s="312"/>
      <c r="J509" s="312"/>
      <c r="K509" s="312"/>
      <c r="L509" s="312"/>
      <c r="M509" s="312"/>
      <c r="N509" s="312">
        <v>1.1943988093662423</v>
      </c>
      <c r="O509" s="312">
        <v>1.2240471947887752</v>
      </c>
      <c r="P509" s="312">
        <v>1.2544568462996684</v>
      </c>
      <c r="Q509" s="312">
        <v>1.2856474960167763</v>
      </c>
      <c r="R509" s="313">
        <v>1.0790222357244008</v>
      </c>
      <c r="S509" s="313">
        <v>0.88882484222785541</v>
      </c>
      <c r="T509" s="313">
        <v>0.66928207989891286</v>
      </c>
      <c r="U509" s="313">
        <v>0.4174656724039616</v>
      </c>
      <c r="V509" s="313">
        <v>0.28394971858707302</v>
      </c>
      <c r="W509" s="313">
        <v>0.13149567128364911</v>
      </c>
      <c r="X509" s="313">
        <v>0.13291999160747681</v>
      </c>
      <c r="Y509" s="313">
        <v>0.13424959629934197</v>
      </c>
      <c r="Z509" s="313">
        <v>0.13559471195897735</v>
      </c>
      <c r="AA509" s="313">
        <v>0.13695553426336107</v>
      </c>
      <c r="AB509" s="313">
        <v>0.13833226144214586</v>
      </c>
      <c r="AC509" s="313">
        <v>0.13972509431140342</v>
      </c>
      <c r="AD509" s="313">
        <v>0.14104024143208266</v>
      </c>
      <c r="AE509" s="313">
        <v>0.14236950186340239</v>
      </c>
      <c r="AF509" s="313">
        <v>0.14371303832608029</v>
      </c>
      <c r="AG509" s="313">
        <v>0.14507101548111159</v>
      </c>
      <c r="AH509" s="313">
        <v>0.14644359995324543</v>
      </c>
      <c r="AI509" s="313">
        <v>0.14783096035474613</v>
      </c>
      <c r="AJ509" s="313">
        <v>0.14923326730944494</v>
      </c>
      <c r="AK509" s="313">
        <v>0.15065069347708368</v>
      </c>
      <c r="AL509" s="313">
        <v>0.15208341357795513</v>
      </c>
      <c r="AM509" s="313">
        <v>0.15353160441784325</v>
      </c>
      <c r="AN509" s="313">
        <v>0.15499544491326744</v>
      </c>
      <c r="AO509" s="313">
        <v>0.1564751161170336</v>
      </c>
      <c r="AP509" s="313">
        <v>0.15797080124409676</v>
      </c>
      <c r="AQ509" s="313">
        <v>0.15948268569773832</v>
      </c>
      <c r="AR509" s="314">
        <v>0.1610109570960625</v>
      </c>
    </row>
    <row r="510" spans="1:44" hidden="1" x14ac:dyDescent="0.2">
      <c r="A510" s="283"/>
      <c r="B510" s="291">
        <v>5</v>
      </c>
      <c r="C510" s="283" t="s">
        <v>228</v>
      </c>
      <c r="D510" s="292" t="s">
        <v>221</v>
      </c>
      <c r="E510" s="283"/>
      <c r="F510" s="283"/>
      <c r="G510" s="312"/>
      <c r="H510" s="312"/>
      <c r="I510" s="312"/>
      <c r="J510" s="312"/>
      <c r="K510" s="312"/>
      <c r="L510" s="312"/>
      <c r="M510" s="312"/>
      <c r="N510" s="312">
        <v>1.7302933847657074</v>
      </c>
      <c r="O510" s="312">
        <v>1.7389448516895356</v>
      </c>
      <c r="P510" s="312">
        <v>1.747639575947983</v>
      </c>
      <c r="Q510" s="312">
        <v>1.7563777738277226</v>
      </c>
      <c r="R510" s="313">
        <v>1.7651596626968615</v>
      </c>
      <c r="S510" s="313">
        <v>1.419188368808276</v>
      </c>
      <c r="T510" s="313">
        <v>0.8557705863913907</v>
      </c>
      <c r="U510" s="313">
        <v>0.34401977572933906</v>
      </c>
      <c r="V510" s="313">
        <v>6.9147974921597119E-2</v>
      </c>
      <c r="W510" s="313">
        <v>0</v>
      </c>
      <c r="X510" s="313">
        <v>0</v>
      </c>
      <c r="Y510" s="313">
        <v>0</v>
      </c>
      <c r="Z510" s="313">
        <v>0</v>
      </c>
      <c r="AA510" s="313">
        <v>0</v>
      </c>
      <c r="AB510" s="313">
        <v>0</v>
      </c>
      <c r="AC510" s="313">
        <v>0</v>
      </c>
      <c r="AD510" s="313">
        <v>0</v>
      </c>
      <c r="AE510" s="313">
        <v>0</v>
      </c>
      <c r="AF510" s="313">
        <v>0</v>
      </c>
      <c r="AG510" s="313">
        <v>0</v>
      </c>
      <c r="AH510" s="313">
        <v>0</v>
      </c>
      <c r="AI510" s="313">
        <v>0</v>
      </c>
      <c r="AJ510" s="313">
        <v>0</v>
      </c>
      <c r="AK510" s="313">
        <v>0</v>
      </c>
      <c r="AL510" s="313">
        <v>0</v>
      </c>
      <c r="AM510" s="313">
        <v>0</v>
      </c>
      <c r="AN510" s="313">
        <v>0</v>
      </c>
      <c r="AO510" s="313">
        <v>0</v>
      </c>
      <c r="AP510" s="313">
        <v>0</v>
      </c>
      <c r="AQ510" s="313">
        <v>0</v>
      </c>
      <c r="AR510" s="314">
        <v>0</v>
      </c>
    </row>
    <row r="511" spans="1:44" hidden="1" x14ac:dyDescent="0.2">
      <c r="A511" s="283"/>
      <c r="B511" s="291">
        <v>6</v>
      </c>
      <c r="C511" s="283" t="s">
        <v>229</v>
      </c>
      <c r="D511" s="292" t="s">
        <v>230</v>
      </c>
      <c r="E511" s="283"/>
      <c r="F511" s="283"/>
      <c r="G511" s="312"/>
      <c r="H511" s="312"/>
      <c r="I511" s="312"/>
      <c r="J511" s="312"/>
      <c r="K511" s="312"/>
      <c r="L511" s="312"/>
      <c r="M511" s="312"/>
      <c r="N511" s="312">
        <v>0.47582400000000002</v>
      </c>
      <c r="O511" s="312">
        <v>0.4818960000000001</v>
      </c>
      <c r="P511" s="312">
        <v>0.48686400000000002</v>
      </c>
      <c r="Q511" s="312">
        <v>0.49238399999999999</v>
      </c>
      <c r="R511" s="313">
        <v>0.49790400000000001</v>
      </c>
      <c r="S511" s="313">
        <v>0.50397599999999998</v>
      </c>
      <c r="T511" s="313">
        <v>0.51004800000000006</v>
      </c>
      <c r="U511" s="313">
        <v>0.51501599999999992</v>
      </c>
      <c r="V511" s="313">
        <v>0.52053600000000011</v>
      </c>
      <c r="W511" s="313">
        <v>0.52605600000000008</v>
      </c>
      <c r="X511" s="313">
        <v>0.53157600000000005</v>
      </c>
      <c r="Y511" s="313">
        <v>0.53764800000000001</v>
      </c>
      <c r="Z511" s="313">
        <v>0.54316799999999998</v>
      </c>
      <c r="AA511" s="313">
        <v>0.54813600000000007</v>
      </c>
      <c r="AB511" s="313">
        <v>0.55365600000000004</v>
      </c>
      <c r="AC511" s="313">
        <v>0.5591759999999999</v>
      </c>
      <c r="AD511" s="313">
        <v>0.56469599999999998</v>
      </c>
      <c r="AE511" s="313">
        <v>0.56856000000000007</v>
      </c>
      <c r="AF511" s="313">
        <v>0.57518399999999992</v>
      </c>
      <c r="AG511" s="313">
        <v>0.580704</v>
      </c>
      <c r="AH511" s="313">
        <v>0.58567199999999997</v>
      </c>
      <c r="AI511" s="313">
        <v>0.59174400000000005</v>
      </c>
      <c r="AJ511" s="313">
        <v>0.59726400000000002</v>
      </c>
      <c r="AK511" s="313">
        <v>0.60223199999999999</v>
      </c>
      <c r="AL511" s="313">
        <v>0.60830399999999996</v>
      </c>
      <c r="AM511" s="313">
        <v>0.61382399999999993</v>
      </c>
      <c r="AN511" s="313">
        <v>0.61934399999999989</v>
      </c>
      <c r="AO511" s="313">
        <v>0.62651999999999997</v>
      </c>
      <c r="AP511" s="313">
        <v>0.63203999999999994</v>
      </c>
      <c r="AQ511" s="313">
        <v>0.63801485532131663</v>
      </c>
      <c r="AR511" s="314">
        <v>0.64459972959792322</v>
      </c>
    </row>
    <row r="512" spans="1:44" hidden="1" x14ac:dyDescent="0.2">
      <c r="A512" s="283"/>
      <c r="B512" s="291">
        <v>7</v>
      </c>
      <c r="C512" s="283" t="s">
        <v>231</v>
      </c>
      <c r="D512" s="292" t="s">
        <v>225</v>
      </c>
      <c r="E512" s="283"/>
      <c r="F512" s="283"/>
      <c r="G512" s="312"/>
      <c r="H512" s="312"/>
      <c r="I512" s="312"/>
      <c r="J512" s="312"/>
      <c r="K512" s="312"/>
      <c r="L512" s="312"/>
      <c r="M512" s="312"/>
      <c r="N512" s="312">
        <v>0</v>
      </c>
      <c r="O512" s="312">
        <v>0</v>
      </c>
      <c r="P512" s="312">
        <v>0</v>
      </c>
      <c r="Q512" s="312">
        <v>0</v>
      </c>
      <c r="R512" s="313">
        <v>0</v>
      </c>
      <c r="S512" s="313">
        <v>0</v>
      </c>
      <c r="T512" s="313">
        <v>0</v>
      </c>
      <c r="U512" s="313">
        <v>0</v>
      </c>
      <c r="V512" s="313">
        <v>0</v>
      </c>
      <c r="W512" s="313">
        <v>0</v>
      </c>
      <c r="X512" s="313">
        <v>0</v>
      </c>
      <c r="Y512" s="313">
        <v>0</v>
      </c>
      <c r="Z512" s="313">
        <v>0</v>
      </c>
      <c r="AA512" s="313">
        <v>0</v>
      </c>
      <c r="AB512" s="313">
        <v>0</v>
      </c>
      <c r="AC512" s="313">
        <v>0</v>
      </c>
      <c r="AD512" s="313">
        <v>0</v>
      </c>
      <c r="AE512" s="313">
        <v>0</v>
      </c>
      <c r="AF512" s="313">
        <v>0</v>
      </c>
      <c r="AG512" s="313">
        <v>0</v>
      </c>
      <c r="AH512" s="313">
        <v>0</v>
      </c>
      <c r="AI512" s="313">
        <v>0</v>
      </c>
      <c r="AJ512" s="313">
        <v>0</v>
      </c>
      <c r="AK512" s="313">
        <v>0</v>
      </c>
      <c r="AL512" s="313">
        <v>0</v>
      </c>
      <c r="AM512" s="313">
        <v>0</v>
      </c>
      <c r="AN512" s="313">
        <v>0</v>
      </c>
      <c r="AO512" s="313">
        <v>0</v>
      </c>
      <c r="AP512" s="313">
        <v>0</v>
      </c>
      <c r="AQ512" s="313">
        <v>0</v>
      </c>
      <c r="AR512" s="314">
        <v>0</v>
      </c>
    </row>
    <row r="513" spans="1:44" hidden="1" x14ac:dyDescent="0.2">
      <c r="A513" s="283"/>
      <c r="B513" s="291">
        <v>8</v>
      </c>
      <c r="C513" s="283" t="s">
        <v>232</v>
      </c>
      <c r="D513" s="292" t="s">
        <v>233</v>
      </c>
      <c r="E513" s="283"/>
      <c r="F513" s="283"/>
      <c r="G513" s="312"/>
      <c r="H513" s="312"/>
      <c r="I513" s="312"/>
      <c r="J513" s="312"/>
      <c r="K513" s="312"/>
      <c r="L513" s="312"/>
      <c r="M513" s="312"/>
      <c r="N513" s="312">
        <v>13.83206591097851</v>
      </c>
      <c r="O513" s="312">
        <v>14.052933961381237</v>
      </c>
      <c r="P513" s="312">
        <v>14.277328794840281</v>
      </c>
      <c r="Q513" s="312">
        <v>14.505306726421146</v>
      </c>
      <c r="R513" s="313">
        <v>14.732591882449492</v>
      </c>
      <c r="S513" s="313">
        <v>14.967839376742667</v>
      </c>
      <c r="T513" s="313">
        <v>15.188532777088261</v>
      </c>
      <c r="U513" s="313">
        <v>15.412480192641411</v>
      </c>
      <c r="V513" s="313">
        <v>15.639729602249483</v>
      </c>
      <c r="W513" s="313">
        <v>15.870329692184248</v>
      </c>
      <c r="X513" s="313">
        <v>16.104329866572556</v>
      </c>
      <c r="Y513" s="313">
        <v>16.318962592492191</v>
      </c>
      <c r="Z513" s="313">
        <v>16.53645586631524</v>
      </c>
      <c r="AA513" s="313">
        <v>16.75684781239703</v>
      </c>
      <c r="AB513" s="313">
        <v>16.9801770632006</v>
      </c>
      <c r="AC513" s="313">
        <v>18.131485081161735</v>
      </c>
      <c r="AD513" s="313">
        <v>18.353160069426487</v>
      </c>
      <c r="AE513" s="313">
        <v>18.5775452493938</v>
      </c>
      <c r="AF513" s="313">
        <v>18.804673755785473</v>
      </c>
      <c r="AG513" s="313">
        <v>19.03457912842741</v>
      </c>
      <c r="AH513" s="313">
        <v>19.267295317202386</v>
      </c>
      <c r="AI513" s="313">
        <v>19.502856687063474</v>
      </c>
      <c r="AJ513" s="313">
        <v>19.741298023108566</v>
      </c>
      <c r="AK513" s="313">
        <v>19.982654535717131</v>
      </c>
      <c r="AL513" s="313">
        <v>20.226961865749676</v>
      </c>
      <c r="AM513" s="313">
        <v>20.47425608981079</v>
      </c>
      <c r="AN513" s="313">
        <v>20.72457372557653</v>
      </c>
      <c r="AO513" s="313">
        <v>20.977951737186977</v>
      </c>
      <c r="AP513" s="313">
        <v>21.234427540704633</v>
      </c>
      <c r="AQ513" s="313">
        <v>21.494039009639685</v>
      </c>
      <c r="AR513" s="314">
        <v>21.75682448054269</v>
      </c>
    </row>
    <row r="514" spans="1:44" hidden="1" x14ac:dyDescent="0.2">
      <c r="B514" s="304"/>
      <c r="C514" s="158" t="s">
        <v>84</v>
      </c>
      <c r="D514" s="159"/>
      <c r="E514" s="158"/>
      <c r="F514" s="158"/>
      <c r="G514" s="315">
        <v>0</v>
      </c>
      <c r="H514" s="315">
        <v>0</v>
      </c>
      <c r="I514" s="315">
        <v>0</v>
      </c>
      <c r="J514" s="315">
        <v>0</v>
      </c>
      <c r="K514" s="315">
        <v>0</v>
      </c>
      <c r="L514" s="315">
        <v>0</v>
      </c>
      <c r="M514" s="315">
        <v>0</v>
      </c>
      <c r="N514" s="316">
        <v>17.852319194359826</v>
      </c>
      <c r="O514" s="316">
        <v>18.130210252556029</v>
      </c>
      <c r="P514" s="316">
        <v>18.411590465414911</v>
      </c>
      <c r="Q514" s="316">
        <v>18.6981975827212</v>
      </c>
      <c r="R514" s="316">
        <v>18.746612642500793</v>
      </c>
      <c r="S514" s="316">
        <v>18.435664740946244</v>
      </c>
      <c r="T514" s="316">
        <v>17.868979316740795</v>
      </c>
      <c r="U514" s="316">
        <v>17.32178025713695</v>
      </c>
      <c r="V514" s="316">
        <v>17.131397588019194</v>
      </c>
      <c r="W514" s="316">
        <v>17.128763992659596</v>
      </c>
      <c r="X514" s="316">
        <v>17.387196092104425</v>
      </c>
      <c r="Y514" s="316">
        <v>17.623579510169627</v>
      </c>
      <c r="Z514" s="316">
        <v>17.85899865540204</v>
      </c>
      <c r="AA514" s="316">
        <v>18.096984155642108</v>
      </c>
      <c r="AB514" s="316">
        <v>18.338682798556338</v>
      </c>
      <c r="AC514" s="316">
        <v>19.508588284664757</v>
      </c>
      <c r="AD514" s="316">
        <v>19.748726249649035</v>
      </c>
      <c r="AE514" s="316">
        <v>19.990145838759556</v>
      </c>
      <c r="AF514" s="316">
        <v>20.237300504163166</v>
      </c>
      <c r="AG514" s="316">
        <v>20.486364190079044</v>
      </c>
      <c r="AH514" s="316">
        <v>20.737927339563299</v>
      </c>
      <c r="AI514" s="316">
        <v>20.9936849013942</v>
      </c>
      <c r="AJ514" s="316">
        <v>21.252020337059282</v>
      </c>
      <c r="AK514" s="316">
        <v>21.512973627846506</v>
      </c>
      <c r="AL514" s="316">
        <v>21.778241282040746</v>
      </c>
      <c r="AM514" s="316">
        <v>22.046208342227519</v>
      </c>
      <c r="AN514" s="316">
        <v>22.317468392705688</v>
      </c>
      <c r="AO514" s="316">
        <v>22.59371956701094</v>
      </c>
      <c r="AP514" s="316">
        <v>22.871692555551729</v>
      </c>
      <c r="AQ514" s="316">
        <v>23.153541468681144</v>
      </c>
      <c r="AR514" s="317">
        <v>23.439465297554925</v>
      </c>
    </row>
    <row r="515" spans="1:44" hidden="1" x14ac:dyDescent="0.2">
      <c r="A515" s="300"/>
      <c r="B515" s="301"/>
      <c r="C515" s="300"/>
      <c r="D515" s="300"/>
      <c r="E515" s="300"/>
      <c r="F515" s="300"/>
      <c r="G515" s="302"/>
      <c r="H515" s="302"/>
      <c r="I515" s="302"/>
      <c r="J515" s="302"/>
      <c r="K515" s="302"/>
      <c r="L515" s="302"/>
      <c r="M515" s="302"/>
      <c r="N515" s="302"/>
      <c r="O515" s="302"/>
      <c r="P515" s="302"/>
      <c r="Q515" s="300"/>
      <c r="R515" s="300"/>
      <c r="S515" s="300"/>
      <c r="T515" s="300"/>
      <c r="U515" s="300"/>
      <c r="V515" s="300"/>
      <c r="W515" s="300"/>
      <c r="X515" s="300"/>
      <c r="Y515" s="300"/>
      <c r="Z515" s="300"/>
      <c r="AA515" s="300"/>
      <c r="AB515" s="300"/>
      <c r="AC515" s="300"/>
      <c r="AD515" s="300"/>
      <c r="AE515" s="300"/>
      <c r="AF515" s="300"/>
      <c r="AG515" s="300"/>
      <c r="AH515" s="300"/>
      <c r="AI515" s="300"/>
      <c r="AJ515" s="300"/>
      <c r="AK515" s="300"/>
      <c r="AL515" s="300"/>
      <c r="AM515" s="300"/>
      <c r="AN515" s="300"/>
      <c r="AO515" s="300"/>
      <c r="AP515" s="300"/>
      <c r="AQ515" s="300"/>
      <c r="AR515" s="303"/>
    </row>
    <row r="516" spans="1:44" hidden="1" x14ac:dyDescent="0.2">
      <c r="A516" s="270"/>
      <c r="B516" s="271"/>
      <c r="C516" s="272" t="s">
        <v>291</v>
      </c>
      <c r="D516" s="272"/>
      <c r="E516" s="272"/>
      <c r="F516" s="272"/>
      <c r="G516" s="272"/>
      <c r="H516" s="272"/>
      <c r="I516" s="272"/>
      <c r="J516" s="272"/>
      <c r="K516" s="272"/>
      <c r="L516" s="272"/>
      <c r="M516" s="272"/>
      <c r="N516" s="272"/>
      <c r="O516" s="272"/>
      <c r="P516" s="272"/>
      <c r="Q516" s="272"/>
      <c r="R516" s="272"/>
      <c r="S516" s="272"/>
      <c r="T516" s="272"/>
      <c r="U516" s="272"/>
      <c r="V516" s="272"/>
      <c r="W516" s="272"/>
      <c r="X516" s="272"/>
      <c r="Y516" s="272"/>
      <c r="Z516" s="272"/>
      <c r="AA516" s="272"/>
      <c r="AB516" s="272"/>
      <c r="AC516" s="272"/>
      <c r="AD516" s="272"/>
      <c r="AE516" s="272"/>
      <c r="AF516" s="272"/>
      <c r="AG516" s="273"/>
      <c r="AH516" s="272"/>
      <c r="AI516" s="274"/>
      <c r="AJ516" s="272"/>
      <c r="AK516" s="272"/>
      <c r="AL516" s="273"/>
      <c r="AM516" s="273"/>
      <c r="AN516" s="273"/>
      <c r="AO516" s="273"/>
      <c r="AP516" s="273"/>
      <c r="AQ516" s="273"/>
      <c r="AR516" s="275"/>
    </row>
    <row r="517" spans="1:44" ht="45" hidden="1" x14ac:dyDescent="0.2">
      <c r="A517" s="276"/>
      <c r="B517" s="277"/>
      <c r="C517" s="278" t="s">
        <v>278</v>
      </c>
      <c r="D517" s="279" t="s">
        <v>279</v>
      </c>
      <c r="E517" s="278"/>
      <c r="F517" s="278"/>
      <c r="G517" s="280">
        <v>2019</v>
      </c>
      <c r="H517" s="280">
        <v>2020</v>
      </c>
      <c r="I517" s="280">
        <v>2021</v>
      </c>
      <c r="J517" s="280">
        <v>2022</v>
      </c>
      <c r="K517" s="280">
        <v>2023</v>
      </c>
      <c r="L517" s="281">
        <v>45352</v>
      </c>
      <c r="M517" s="280">
        <v>2024</v>
      </c>
      <c r="N517" s="278">
        <v>2025</v>
      </c>
      <c r="O517" s="278">
        <v>2026</v>
      </c>
      <c r="P517" s="278">
        <v>2027</v>
      </c>
      <c r="Q517" s="278">
        <v>2028</v>
      </c>
      <c r="R517" s="278">
        <v>2029</v>
      </c>
      <c r="S517" s="278">
        <v>2030</v>
      </c>
      <c r="T517" s="278">
        <v>2031</v>
      </c>
      <c r="U517" s="278">
        <v>2032</v>
      </c>
      <c r="V517" s="278">
        <v>2033</v>
      </c>
      <c r="W517" s="278">
        <v>2034</v>
      </c>
      <c r="X517" s="278">
        <v>2035</v>
      </c>
      <c r="Y517" s="278">
        <v>2036</v>
      </c>
      <c r="Z517" s="278">
        <v>2037</v>
      </c>
      <c r="AA517" s="278">
        <v>2038</v>
      </c>
      <c r="AB517" s="278">
        <v>2039</v>
      </c>
      <c r="AC517" s="278">
        <v>2040</v>
      </c>
      <c r="AD517" s="278">
        <v>2041</v>
      </c>
      <c r="AE517" s="278">
        <v>2042</v>
      </c>
      <c r="AF517" s="278">
        <v>2043</v>
      </c>
      <c r="AG517" s="278">
        <v>2044</v>
      </c>
      <c r="AH517" s="278">
        <v>2045</v>
      </c>
      <c r="AI517" s="278">
        <v>2046</v>
      </c>
      <c r="AJ517" s="278">
        <v>2047</v>
      </c>
      <c r="AK517" s="278">
        <v>2048</v>
      </c>
      <c r="AL517" s="278">
        <v>2049</v>
      </c>
      <c r="AM517" s="278">
        <v>2050</v>
      </c>
      <c r="AN517" s="278">
        <v>2051</v>
      </c>
      <c r="AO517" s="278">
        <v>2052</v>
      </c>
      <c r="AP517" s="278">
        <v>2053</v>
      </c>
      <c r="AQ517" s="278">
        <v>2054</v>
      </c>
      <c r="AR517" s="282">
        <v>2055</v>
      </c>
    </row>
    <row r="518" spans="1:44" hidden="1" x14ac:dyDescent="0.2">
      <c r="A518" s="283"/>
      <c r="B518" s="284"/>
      <c r="C518" s="285"/>
      <c r="D518" s="286"/>
      <c r="E518" s="287"/>
      <c r="F518" s="285"/>
      <c r="G518" s="285" t="s">
        <v>243</v>
      </c>
      <c r="H518" s="285" t="s">
        <v>243</v>
      </c>
      <c r="I518" s="285" t="s">
        <v>243</v>
      </c>
      <c r="J518" s="285" t="s">
        <v>243</v>
      </c>
      <c r="K518" s="285" t="s">
        <v>243</v>
      </c>
      <c r="L518" s="285" t="s">
        <v>244</v>
      </c>
      <c r="M518" s="285" t="s">
        <v>245</v>
      </c>
      <c r="N518" s="285"/>
      <c r="O518" s="285"/>
      <c r="P518" s="285"/>
      <c r="Q518" s="285"/>
      <c r="R518" s="285"/>
      <c r="S518" s="285"/>
      <c r="T518" s="285"/>
      <c r="U518" s="288"/>
      <c r="V518" s="289"/>
      <c r="W518" s="285"/>
      <c r="X518" s="285"/>
      <c r="Y518" s="285"/>
      <c r="Z518" s="285"/>
      <c r="AA518" s="285"/>
      <c r="AB518" s="285"/>
      <c r="AC518" s="285"/>
      <c r="AD518" s="285"/>
      <c r="AE518" s="285"/>
      <c r="AF518" s="285"/>
      <c r="AG518" s="285"/>
      <c r="AH518" s="285"/>
      <c r="AI518" s="285"/>
      <c r="AJ518" s="285"/>
      <c r="AK518" s="285"/>
      <c r="AL518" s="285"/>
      <c r="AM518" s="285"/>
      <c r="AN518" s="285"/>
      <c r="AO518" s="285"/>
      <c r="AP518" s="285"/>
      <c r="AQ518" s="285"/>
      <c r="AR518" s="290"/>
    </row>
    <row r="519" spans="1:44" hidden="1" x14ac:dyDescent="0.2">
      <c r="A519" s="283"/>
      <c r="B519" s="291">
        <v>1</v>
      </c>
      <c r="C519" s="283" t="s">
        <v>220</v>
      </c>
      <c r="D519" s="292" t="s">
        <v>221</v>
      </c>
      <c r="E519" s="283"/>
      <c r="F519" s="283"/>
      <c r="G519" s="312"/>
      <c r="H519" s="312"/>
      <c r="I519" s="312"/>
      <c r="J519" s="312"/>
      <c r="K519" s="312"/>
      <c r="L519" s="312"/>
      <c r="M519" s="312"/>
      <c r="N519" s="312">
        <v>0</v>
      </c>
      <c r="O519" s="312">
        <v>0</v>
      </c>
      <c r="P519" s="312">
        <v>0</v>
      </c>
      <c r="Q519" s="312">
        <v>0</v>
      </c>
      <c r="R519" s="313">
        <v>0</v>
      </c>
      <c r="S519" s="313">
        <v>0</v>
      </c>
      <c r="T519" s="313">
        <v>0</v>
      </c>
      <c r="U519" s="313">
        <v>0</v>
      </c>
      <c r="V519" s="313">
        <v>0</v>
      </c>
      <c r="W519" s="313">
        <v>0</v>
      </c>
      <c r="X519" s="313">
        <v>0</v>
      </c>
      <c r="Y519" s="313">
        <v>0</v>
      </c>
      <c r="Z519" s="313">
        <v>0</v>
      </c>
      <c r="AA519" s="313">
        <v>0</v>
      </c>
      <c r="AB519" s="313">
        <v>0</v>
      </c>
      <c r="AC519" s="313">
        <v>0</v>
      </c>
      <c r="AD519" s="313">
        <v>0</v>
      </c>
      <c r="AE519" s="313">
        <v>0</v>
      </c>
      <c r="AF519" s="313">
        <v>0</v>
      </c>
      <c r="AG519" s="313">
        <v>0</v>
      </c>
      <c r="AH519" s="313">
        <v>0</v>
      </c>
      <c r="AI519" s="313">
        <v>0</v>
      </c>
      <c r="AJ519" s="313">
        <v>0</v>
      </c>
      <c r="AK519" s="313">
        <v>0</v>
      </c>
      <c r="AL519" s="313">
        <v>0</v>
      </c>
      <c r="AM519" s="313">
        <v>0</v>
      </c>
      <c r="AN519" s="313">
        <v>0</v>
      </c>
      <c r="AO519" s="313">
        <v>0</v>
      </c>
      <c r="AP519" s="313">
        <v>0</v>
      </c>
      <c r="AQ519" s="313">
        <v>0</v>
      </c>
      <c r="AR519" s="314">
        <v>0</v>
      </c>
    </row>
    <row r="520" spans="1:44" hidden="1" x14ac:dyDescent="0.2">
      <c r="A520" s="283"/>
      <c r="B520" s="291">
        <v>2</v>
      </c>
      <c r="C520" s="283" t="s">
        <v>222</v>
      </c>
      <c r="D520" s="292" t="s">
        <v>223</v>
      </c>
      <c r="E520" s="283"/>
      <c r="F520" s="283"/>
      <c r="G520" s="312"/>
      <c r="H520" s="312"/>
      <c r="I520" s="312"/>
      <c r="J520" s="312"/>
      <c r="K520" s="312"/>
      <c r="L520" s="312"/>
      <c r="M520" s="312"/>
      <c r="N520" s="312">
        <v>6.5034297520661144E-2</v>
      </c>
      <c r="O520" s="312">
        <v>6.5359469008264434E-2</v>
      </c>
      <c r="P520" s="312">
        <v>6.5686266353305753E-2</v>
      </c>
      <c r="Q520" s="312">
        <v>6.6014697685072288E-2</v>
      </c>
      <c r="R520" s="313">
        <v>6.634477117349763E-2</v>
      </c>
      <c r="S520" s="313">
        <v>6.667649502936511E-2</v>
      </c>
      <c r="T520" s="313">
        <v>6.7009877504511928E-2</v>
      </c>
      <c r="U520" s="313">
        <v>6.7344926892034487E-2</v>
      </c>
      <c r="V520" s="313">
        <v>6.7681651526494663E-2</v>
      </c>
      <c r="W520" s="313">
        <v>6.8020059784127118E-2</v>
      </c>
      <c r="X520" s="313">
        <v>6.8360160083047738E-2</v>
      </c>
      <c r="Y520" s="313">
        <v>6.870196088346299E-2</v>
      </c>
      <c r="Z520" s="313">
        <v>6.9045470687880278E-2</v>
      </c>
      <c r="AA520" s="313">
        <v>6.9390698041319684E-2</v>
      </c>
      <c r="AB520" s="313">
        <v>6.9737651531526265E-2</v>
      </c>
      <c r="AC520" s="313">
        <v>7.0086339789183896E-2</v>
      </c>
      <c r="AD520" s="313">
        <v>7.043677148812981E-2</v>
      </c>
      <c r="AE520" s="313">
        <v>7.0788955345570448E-2</v>
      </c>
      <c r="AF520" s="313">
        <v>7.1142900122298305E-2</v>
      </c>
      <c r="AG520" s="313">
        <v>7.1498614622909781E-2</v>
      </c>
      <c r="AH520" s="313">
        <v>7.1856107696024324E-2</v>
      </c>
      <c r="AI520" s="313">
        <v>7.2215388234504449E-2</v>
      </c>
      <c r="AJ520" s="313">
        <v>7.2576465175676952E-2</v>
      </c>
      <c r="AK520" s="313">
        <v>7.2939347501555327E-2</v>
      </c>
      <c r="AL520" s="313">
        <v>7.3304044239063088E-2</v>
      </c>
      <c r="AM520" s="313">
        <v>7.3670564460258409E-2</v>
      </c>
      <c r="AN520" s="313">
        <v>7.403891728255968E-2</v>
      </c>
      <c r="AO520" s="313">
        <v>7.4409111868972477E-2</v>
      </c>
      <c r="AP520" s="313">
        <v>7.4781157428317327E-2</v>
      </c>
      <c r="AQ520" s="313">
        <v>7.5155063215458909E-2</v>
      </c>
      <c r="AR520" s="314">
        <v>7.5530838531536207E-2</v>
      </c>
    </row>
    <row r="521" spans="1:44" hidden="1" x14ac:dyDescent="0.2">
      <c r="A521" s="283"/>
      <c r="B521" s="291">
        <v>3</v>
      </c>
      <c r="C521" s="283" t="s">
        <v>224</v>
      </c>
      <c r="D521" s="292" t="s">
        <v>225</v>
      </c>
      <c r="E521" s="283"/>
      <c r="F521" s="283"/>
      <c r="G521" s="312"/>
      <c r="H521" s="312"/>
      <c r="I521" s="312"/>
      <c r="J521" s="312"/>
      <c r="K521" s="312"/>
      <c r="L521" s="312"/>
      <c r="M521" s="312"/>
      <c r="N521" s="312">
        <v>0</v>
      </c>
      <c r="O521" s="312">
        <v>0</v>
      </c>
      <c r="P521" s="312">
        <v>0</v>
      </c>
      <c r="Q521" s="312">
        <v>0</v>
      </c>
      <c r="R521" s="313">
        <v>0</v>
      </c>
      <c r="S521" s="313">
        <v>0</v>
      </c>
      <c r="T521" s="313">
        <v>0</v>
      </c>
      <c r="U521" s="313">
        <v>0</v>
      </c>
      <c r="V521" s="313">
        <v>0</v>
      </c>
      <c r="W521" s="313">
        <v>0</v>
      </c>
      <c r="X521" s="313">
        <v>0</v>
      </c>
      <c r="Y521" s="313">
        <v>0</v>
      </c>
      <c r="Z521" s="313">
        <v>0</v>
      </c>
      <c r="AA521" s="313">
        <v>0</v>
      </c>
      <c r="AB521" s="313">
        <v>0</v>
      </c>
      <c r="AC521" s="313">
        <v>0</v>
      </c>
      <c r="AD521" s="313">
        <v>0</v>
      </c>
      <c r="AE521" s="313">
        <v>0</v>
      </c>
      <c r="AF521" s="313">
        <v>0</v>
      </c>
      <c r="AG521" s="313">
        <v>0</v>
      </c>
      <c r="AH521" s="313">
        <v>0</v>
      </c>
      <c r="AI521" s="313">
        <v>0</v>
      </c>
      <c r="AJ521" s="313">
        <v>0</v>
      </c>
      <c r="AK521" s="313">
        <v>0</v>
      </c>
      <c r="AL521" s="313">
        <v>0</v>
      </c>
      <c r="AM521" s="313">
        <v>0</v>
      </c>
      <c r="AN521" s="313">
        <v>0</v>
      </c>
      <c r="AO521" s="313">
        <v>0</v>
      </c>
      <c r="AP521" s="313">
        <v>0</v>
      </c>
      <c r="AQ521" s="313">
        <v>0</v>
      </c>
      <c r="AR521" s="314">
        <v>0</v>
      </c>
    </row>
    <row r="522" spans="1:44" hidden="1" x14ac:dyDescent="0.2">
      <c r="A522" s="283"/>
      <c r="B522" s="291">
        <v>4</v>
      </c>
      <c r="C522" s="283" t="s">
        <v>226</v>
      </c>
      <c r="D522" s="292" t="s">
        <v>227</v>
      </c>
      <c r="E522" s="283"/>
      <c r="F522" s="283"/>
      <c r="G522" s="312"/>
      <c r="H522" s="312"/>
      <c r="I522" s="312"/>
      <c r="J522" s="312"/>
      <c r="K522" s="312"/>
      <c r="L522" s="312"/>
      <c r="M522" s="312"/>
      <c r="N522" s="312">
        <v>2.2540350925925923</v>
      </c>
      <c r="O522" s="312">
        <v>2.2653052680555543</v>
      </c>
      <c r="P522" s="312">
        <v>2.2766317943958323</v>
      </c>
      <c r="Q522" s="312">
        <v>2.2880149533678109</v>
      </c>
      <c r="R522" s="313">
        <v>2.2994550281346497</v>
      </c>
      <c r="S522" s="313">
        <v>2.3109523032753225</v>
      </c>
      <c r="T522" s="313">
        <v>2.322507064791699</v>
      </c>
      <c r="U522" s="313">
        <v>2.3341196001156574</v>
      </c>
      <c r="V522" s="313">
        <v>2.3457901981162355</v>
      </c>
      <c r="W522" s="313">
        <v>2.3575191491068166</v>
      </c>
      <c r="X522" s="313">
        <v>2.3693067448523504</v>
      </c>
      <c r="Y522" s="313">
        <v>2.3811532785766119</v>
      </c>
      <c r="Z522" s="313">
        <v>2.393059044969494</v>
      </c>
      <c r="AA522" s="313">
        <v>2.4050243401943416</v>
      </c>
      <c r="AB522" s="313">
        <v>2.4170494618953131</v>
      </c>
      <c r="AC522" s="313">
        <v>2.4291347092047895</v>
      </c>
      <c r="AD522" s="313">
        <v>2.4412803827508127</v>
      </c>
      <c r="AE522" s="313">
        <v>2.4534867846645669</v>
      </c>
      <c r="AF522" s="313">
        <v>2.4657542185878891</v>
      </c>
      <c r="AG522" s="313">
        <v>2.478082989680829</v>
      </c>
      <c r="AH522" s="313">
        <v>2.4904734046292325</v>
      </c>
      <c r="AI522" s="313">
        <v>2.5029257716523783</v>
      </c>
      <c r="AJ522" s="313">
        <v>2.5154404005106401</v>
      </c>
      <c r="AK522" s="313">
        <v>2.5280176025131933</v>
      </c>
      <c r="AL522" s="313">
        <v>2.5406576905257583</v>
      </c>
      <c r="AM522" s="313">
        <v>2.5533609789783878</v>
      </c>
      <c r="AN522" s="313">
        <v>2.566127783873279</v>
      </c>
      <c r="AO522" s="313">
        <v>2.5789584227926459</v>
      </c>
      <c r="AP522" s="313">
        <v>2.591853214906608</v>
      </c>
      <c r="AQ522" s="313">
        <v>2.604812480981141</v>
      </c>
      <c r="AR522" s="314">
        <v>2.6178365433860464</v>
      </c>
    </row>
    <row r="523" spans="1:44" hidden="1" x14ac:dyDescent="0.2">
      <c r="A523" s="283"/>
      <c r="B523" s="291">
        <v>5</v>
      </c>
      <c r="C523" s="283" t="s">
        <v>228</v>
      </c>
      <c r="D523" s="292" t="s">
        <v>221</v>
      </c>
      <c r="E523" s="283"/>
      <c r="F523" s="283"/>
      <c r="G523" s="312"/>
      <c r="H523" s="312"/>
      <c r="I523" s="312"/>
      <c r="J523" s="312"/>
      <c r="K523" s="312"/>
      <c r="L523" s="312"/>
      <c r="M523" s="312"/>
      <c r="N523" s="312">
        <v>0</v>
      </c>
      <c r="O523" s="312">
        <v>0</v>
      </c>
      <c r="P523" s="312">
        <v>0</v>
      </c>
      <c r="Q523" s="312">
        <v>0</v>
      </c>
      <c r="R523" s="313">
        <v>0</v>
      </c>
      <c r="S523" s="313">
        <v>0</v>
      </c>
      <c r="T523" s="313">
        <v>0</v>
      </c>
      <c r="U523" s="313">
        <v>0</v>
      </c>
      <c r="V523" s="313">
        <v>0</v>
      </c>
      <c r="W523" s="313">
        <v>0</v>
      </c>
      <c r="X523" s="313">
        <v>0</v>
      </c>
      <c r="Y523" s="313">
        <v>0</v>
      </c>
      <c r="Z523" s="313">
        <v>0</v>
      </c>
      <c r="AA523" s="313">
        <v>0</v>
      </c>
      <c r="AB523" s="313">
        <v>0</v>
      </c>
      <c r="AC523" s="313">
        <v>0</v>
      </c>
      <c r="AD523" s="313">
        <v>0</v>
      </c>
      <c r="AE523" s="313">
        <v>0</v>
      </c>
      <c r="AF523" s="313">
        <v>0</v>
      </c>
      <c r="AG523" s="313">
        <v>0</v>
      </c>
      <c r="AH523" s="313">
        <v>0</v>
      </c>
      <c r="AI523" s="313">
        <v>0</v>
      </c>
      <c r="AJ523" s="313">
        <v>0</v>
      </c>
      <c r="AK523" s="313">
        <v>0</v>
      </c>
      <c r="AL523" s="313">
        <v>0</v>
      </c>
      <c r="AM523" s="313">
        <v>0</v>
      </c>
      <c r="AN523" s="313">
        <v>0</v>
      </c>
      <c r="AO523" s="313">
        <v>0</v>
      </c>
      <c r="AP523" s="313">
        <v>0</v>
      </c>
      <c r="AQ523" s="313">
        <v>0</v>
      </c>
      <c r="AR523" s="314">
        <v>0</v>
      </c>
    </row>
    <row r="524" spans="1:44" hidden="1" x14ac:dyDescent="0.2">
      <c r="A524" s="283"/>
      <c r="B524" s="291">
        <v>6</v>
      </c>
      <c r="C524" s="283" t="s">
        <v>229</v>
      </c>
      <c r="D524" s="292" t="s">
        <v>230</v>
      </c>
      <c r="E524" s="283"/>
      <c r="F524" s="283"/>
      <c r="G524" s="312"/>
      <c r="H524" s="312"/>
      <c r="I524" s="312"/>
      <c r="J524" s="312"/>
      <c r="K524" s="312"/>
      <c r="L524" s="312"/>
      <c r="M524" s="312"/>
      <c r="N524" s="312">
        <v>5.3269359320987641</v>
      </c>
      <c r="O524" s="312">
        <v>5.4481822444753076</v>
      </c>
      <c r="P524" s="312">
        <v>5.5576402513766974</v>
      </c>
      <c r="Q524" s="312">
        <v>5.6671143538681479</v>
      </c>
      <c r="R524" s="313">
        <v>5.7766046324276124</v>
      </c>
      <c r="S524" s="313">
        <v>5.8861111679354297</v>
      </c>
      <c r="T524" s="313">
        <v>5.9956340416763414</v>
      </c>
      <c r="U524" s="313">
        <v>6.1287819773168213</v>
      </c>
      <c r="V524" s="313">
        <v>6.2501420939935279</v>
      </c>
      <c r="W524" s="313">
        <v>6.3715187952042367</v>
      </c>
      <c r="X524" s="313">
        <v>6.4929121638716163</v>
      </c>
      <c r="Y524" s="313">
        <v>6.6379309253082575</v>
      </c>
      <c r="Z524" s="313">
        <v>6.7593578793175162</v>
      </c>
      <c r="AA524" s="313">
        <v>6.9044103940227455</v>
      </c>
      <c r="AB524" s="313">
        <v>7.0376755910545867</v>
      </c>
      <c r="AC524" s="313">
        <v>7.194566518392576</v>
      </c>
      <c r="AD524" s="313">
        <v>7.3514746195030565</v>
      </c>
      <c r="AE524" s="313">
        <v>7.4965956592672391</v>
      </c>
      <c r="AF524" s="313">
        <v>7.653538365958636</v>
      </c>
      <c r="AG524" s="313">
        <v>7.786889863343986</v>
      </c>
      <c r="AH524" s="313">
        <v>7.9792804855002117</v>
      </c>
      <c r="AI524" s="313">
        <v>8.1480800731128973</v>
      </c>
      <c r="AJ524" s="313">
        <v>8.3168973561945094</v>
      </c>
      <c r="AK524" s="313">
        <v>8.497536744210052</v>
      </c>
      <c r="AL524" s="313">
        <v>8.678194005091596</v>
      </c>
      <c r="AM524" s="313">
        <v>8.8588692282034742</v>
      </c>
      <c r="AN524" s="313">
        <v>9.0631711453321415</v>
      </c>
      <c r="AO524" s="313">
        <v>9.2556868837748549</v>
      </c>
      <c r="AP524" s="313">
        <v>9.4482208552307654</v>
      </c>
      <c r="AQ524" s="313">
        <v>9.6643817928402527</v>
      </c>
      <c r="AR524" s="314">
        <v>9.8687568252612436</v>
      </c>
    </row>
    <row r="525" spans="1:44" hidden="1" x14ac:dyDescent="0.2">
      <c r="A525" s="283"/>
      <c r="B525" s="291">
        <v>7</v>
      </c>
      <c r="C525" s="283" t="s">
        <v>231</v>
      </c>
      <c r="D525" s="292" t="s">
        <v>225</v>
      </c>
      <c r="E525" s="283"/>
      <c r="F525" s="283"/>
      <c r="G525" s="312"/>
      <c r="H525" s="312"/>
      <c r="I525" s="312"/>
      <c r="J525" s="312"/>
      <c r="K525" s="312"/>
      <c r="L525" s="312"/>
      <c r="M525" s="312"/>
      <c r="N525" s="312">
        <v>0</v>
      </c>
      <c r="O525" s="312">
        <v>0</v>
      </c>
      <c r="P525" s="312">
        <v>0</v>
      </c>
      <c r="Q525" s="312">
        <v>0</v>
      </c>
      <c r="R525" s="313">
        <v>0</v>
      </c>
      <c r="S525" s="313">
        <v>0</v>
      </c>
      <c r="T525" s="313">
        <v>0</v>
      </c>
      <c r="U525" s="313">
        <v>0</v>
      </c>
      <c r="V525" s="313">
        <v>0</v>
      </c>
      <c r="W525" s="313">
        <v>0</v>
      </c>
      <c r="X525" s="313">
        <v>0</v>
      </c>
      <c r="Y525" s="313">
        <v>0</v>
      </c>
      <c r="Z525" s="313">
        <v>0</v>
      </c>
      <c r="AA525" s="313">
        <v>0</v>
      </c>
      <c r="AB525" s="313">
        <v>0</v>
      </c>
      <c r="AC525" s="313">
        <v>0</v>
      </c>
      <c r="AD525" s="313">
        <v>0</v>
      </c>
      <c r="AE525" s="313">
        <v>0</v>
      </c>
      <c r="AF525" s="313">
        <v>0</v>
      </c>
      <c r="AG525" s="313">
        <v>0</v>
      </c>
      <c r="AH525" s="313">
        <v>0</v>
      </c>
      <c r="AI525" s="313">
        <v>0</v>
      </c>
      <c r="AJ525" s="313">
        <v>0</v>
      </c>
      <c r="AK525" s="313">
        <v>0</v>
      </c>
      <c r="AL525" s="313">
        <v>0</v>
      </c>
      <c r="AM525" s="313">
        <v>0</v>
      </c>
      <c r="AN525" s="313">
        <v>0</v>
      </c>
      <c r="AO525" s="313">
        <v>0</v>
      </c>
      <c r="AP525" s="313">
        <v>0</v>
      </c>
      <c r="AQ525" s="313">
        <v>0</v>
      </c>
      <c r="AR525" s="314">
        <v>0</v>
      </c>
    </row>
    <row r="526" spans="1:44" hidden="1" x14ac:dyDescent="0.2">
      <c r="A526" s="283"/>
      <c r="B526" s="291">
        <v>8</v>
      </c>
      <c r="C526" s="283" t="s">
        <v>232</v>
      </c>
      <c r="D526" s="292" t="s">
        <v>233</v>
      </c>
      <c r="E526" s="283"/>
      <c r="F526" s="283"/>
      <c r="G526" s="312"/>
      <c r="H526" s="312"/>
      <c r="I526" s="312"/>
      <c r="J526" s="312"/>
      <c r="K526" s="312"/>
      <c r="L526" s="312"/>
      <c r="M526" s="312"/>
      <c r="N526" s="312">
        <v>3.0406900498474165</v>
      </c>
      <c r="O526" s="312">
        <v>3.0532973404337471</v>
      </c>
      <c r="P526" s="312">
        <v>3.0662042363267603</v>
      </c>
      <c r="Q526" s="312">
        <v>3.0794196470722426</v>
      </c>
      <c r="R526" s="313">
        <v>3.0929527494237452</v>
      </c>
      <c r="S526" s="313">
        <v>3.1068129953587329</v>
      </c>
      <c r="T526" s="313">
        <v>3.1210101203352214</v>
      </c>
      <c r="U526" s="313">
        <v>3.1355541517961214</v>
      </c>
      <c r="V526" s="313">
        <v>3.1504554179286979</v>
      </c>
      <c r="W526" s="313">
        <v>3.1657245566868313</v>
      </c>
      <c r="X526" s="313">
        <v>3.1813725250839289</v>
      </c>
      <c r="Y526" s="313">
        <v>3.1974106087646361</v>
      </c>
      <c r="Z526" s="313">
        <v>3.2138504318636918</v>
      </c>
      <c r="AA526" s="313">
        <v>3.2307039671605562</v>
      </c>
      <c r="AB526" s="313">
        <v>3.2479835465386668</v>
      </c>
      <c r="AC526" s="313">
        <v>3.2657018717584849</v>
      </c>
      <c r="AD526" s="313">
        <v>3.2838720255537215</v>
      </c>
      <c r="AE526" s="313">
        <v>3.3025074830604573</v>
      </c>
      <c r="AF526" s="313">
        <v>3.3216221235891346</v>
      </c>
      <c r="AG526" s="313">
        <v>3.3412302427497091</v>
      </c>
      <c r="AH526" s="313">
        <v>3.3613465649405554</v>
      </c>
      <c r="AI526" s="313">
        <v>3.3819862562120337</v>
      </c>
      <c r="AJ526" s="313">
        <v>3.4031649375159794</v>
      </c>
      <c r="AK526" s="313">
        <v>3.4248986983526621</v>
      </c>
      <c r="AL526" s="313">
        <v>3.4472041108271565</v>
      </c>
      <c r="AM526" s="313">
        <v>3.47009824412741</v>
      </c>
      <c r="AN526" s="313">
        <v>3.4935986794366451</v>
      </c>
      <c r="AO526" s="313">
        <v>3.5177235252931434</v>
      </c>
      <c r="AP526" s="313">
        <v>3.5424914334108109</v>
      </c>
      <c r="AQ526" s="313">
        <v>3.5679216149743662</v>
      </c>
      <c r="AR526" s="314">
        <v>3.5940338574233897</v>
      </c>
    </row>
    <row r="527" spans="1:44" hidden="1" x14ac:dyDescent="0.2">
      <c r="B527" s="304"/>
      <c r="C527" s="158" t="s">
        <v>84</v>
      </c>
      <c r="D527" s="159"/>
      <c r="E527" s="158"/>
      <c r="F527" s="158"/>
      <c r="G527" s="315">
        <v>0</v>
      </c>
      <c r="H527" s="315">
        <v>0</v>
      </c>
      <c r="I527" s="315">
        <v>0</v>
      </c>
      <c r="J527" s="315">
        <v>0</v>
      </c>
      <c r="K527" s="315">
        <v>0</v>
      </c>
      <c r="L527" s="315">
        <v>0</v>
      </c>
      <c r="M527" s="315">
        <v>0</v>
      </c>
      <c r="N527" s="316">
        <v>10.686695372059434</v>
      </c>
      <c r="O527" s="316">
        <v>10.832144321972875</v>
      </c>
      <c r="P527" s="316">
        <v>10.966162548452596</v>
      </c>
      <c r="Q527" s="316">
        <v>11.100563651993273</v>
      </c>
      <c r="R527" s="316">
        <v>11.235357181159504</v>
      </c>
      <c r="S527" s="316">
        <v>11.37055296159885</v>
      </c>
      <c r="T527" s="316">
        <v>11.506161104307774</v>
      </c>
      <c r="U527" s="316">
        <v>11.665800656120634</v>
      </c>
      <c r="V527" s="316">
        <v>11.814069361564957</v>
      </c>
      <c r="W527" s="316">
        <v>11.962782560782012</v>
      </c>
      <c r="X527" s="316">
        <v>12.111951593890943</v>
      </c>
      <c r="Y527" s="316">
        <v>12.285196773532968</v>
      </c>
      <c r="Z527" s="316">
        <v>12.435312826838583</v>
      </c>
      <c r="AA527" s="316">
        <v>12.609529399418962</v>
      </c>
      <c r="AB527" s="316">
        <v>12.772446251020092</v>
      </c>
      <c r="AC527" s="316">
        <v>12.959489439145035</v>
      </c>
      <c r="AD527" s="316">
        <v>13.14706379929572</v>
      </c>
      <c r="AE527" s="316">
        <v>13.323378882337835</v>
      </c>
      <c r="AF527" s="316">
        <v>13.512057608257958</v>
      </c>
      <c r="AG527" s="316">
        <v>13.677701710397434</v>
      </c>
      <c r="AH527" s="316">
        <v>13.902956562766024</v>
      </c>
      <c r="AI527" s="316">
        <v>14.105207489211814</v>
      </c>
      <c r="AJ527" s="316">
        <v>14.308079159396806</v>
      </c>
      <c r="AK527" s="316">
        <v>14.523392392577462</v>
      </c>
      <c r="AL527" s="316">
        <v>14.739359850683574</v>
      </c>
      <c r="AM527" s="316">
        <v>14.95599901576953</v>
      </c>
      <c r="AN527" s="316">
        <v>15.196936525924624</v>
      </c>
      <c r="AO527" s="316">
        <v>15.426777943729615</v>
      </c>
      <c r="AP527" s="316">
        <v>15.657346660976502</v>
      </c>
      <c r="AQ527" s="316">
        <v>15.91227095201122</v>
      </c>
      <c r="AR527" s="317">
        <v>16.156158064602216</v>
      </c>
    </row>
    <row r="528" spans="1:44" hidden="1" x14ac:dyDescent="0.2">
      <c r="A528" s="300"/>
      <c r="B528" s="301"/>
      <c r="C528" s="300"/>
      <c r="D528" s="300"/>
      <c r="E528" s="300"/>
      <c r="F528" s="300"/>
      <c r="G528" s="302"/>
      <c r="H528" s="302"/>
      <c r="I528" s="302"/>
      <c r="J528" s="302"/>
      <c r="K528" s="302">
        <v>0</v>
      </c>
      <c r="L528" s="302">
        <v>0</v>
      </c>
      <c r="M528" s="302">
        <v>0</v>
      </c>
      <c r="N528" s="302">
        <v>10.686695372059434</v>
      </c>
      <c r="O528" s="302">
        <v>10.832144321972875</v>
      </c>
      <c r="P528" s="302">
        <v>10.966162548452596</v>
      </c>
      <c r="Q528" s="300">
        <v>11.100563651993273</v>
      </c>
      <c r="R528" s="300">
        <v>11.235357181159504</v>
      </c>
      <c r="S528" s="300">
        <v>11.37055296159885</v>
      </c>
      <c r="T528" s="300">
        <v>11.506161104307774</v>
      </c>
      <c r="U528" s="300">
        <v>11.665800656120634</v>
      </c>
      <c r="V528" s="300">
        <v>11.814069361564957</v>
      </c>
      <c r="W528" s="300">
        <v>11.962782560782012</v>
      </c>
      <c r="X528" s="300">
        <v>12.111951593890943</v>
      </c>
      <c r="Y528" s="300">
        <v>12.285196773532968</v>
      </c>
      <c r="Z528" s="300">
        <v>12.435312826838583</v>
      </c>
      <c r="AA528" s="300">
        <v>12.609529399418962</v>
      </c>
      <c r="AB528" s="300">
        <v>12.772446251020092</v>
      </c>
      <c r="AC528" s="300">
        <v>12.959489439145035</v>
      </c>
      <c r="AD528" s="300">
        <v>13.14706379929572</v>
      </c>
      <c r="AE528" s="300">
        <v>13.323378882337835</v>
      </c>
      <c r="AF528" s="300">
        <v>13.512057608257958</v>
      </c>
      <c r="AG528" s="300">
        <v>13.677701710397434</v>
      </c>
      <c r="AH528" s="300">
        <v>13.902956562766024</v>
      </c>
      <c r="AI528" s="300">
        <v>14.105207489211814</v>
      </c>
      <c r="AJ528" s="300">
        <v>14.308079159396806</v>
      </c>
      <c r="AK528" s="300">
        <v>14.523392392577462</v>
      </c>
      <c r="AL528" s="300">
        <v>14.739359850683574</v>
      </c>
      <c r="AM528" s="300">
        <v>14.95599901576953</v>
      </c>
      <c r="AN528" s="300">
        <v>15.196936525924624</v>
      </c>
      <c r="AO528" s="300">
        <v>15.426777943729615</v>
      </c>
      <c r="AP528" s="300">
        <v>15.657346660976502</v>
      </c>
      <c r="AQ528" s="300">
        <v>15.91227095201122</v>
      </c>
      <c r="AR528" s="303">
        <v>16.156158064602216</v>
      </c>
    </row>
    <row r="529" spans="1:44" hidden="1" x14ac:dyDescent="0.2">
      <c r="A529" s="270"/>
      <c r="B529" s="271"/>
      <c r="C529" s="272" t="s">
        <v>292</v>
      </c>
      <c r="D529" s="272"/>
      <c r="E529" s="272"/>
      <c r="F529" s="272"/>
      <c r="G529" s="272"/>
      <c r="H529" s="272"/>
      <c r="I529" s="272"/>
      <c r="J529" s="272"/>
      <c r="K529" s="272"/>
      <c r="L529" s="272"/>
      <c r="M529" s="272"/>
      <c r="N529" s="272"/>
      <c r="O529" s="272"/>
      <c r="P529" s="272"/>
      <c r="Q529" s="272"/>
      <c r="R529" s="272"/>
      <c r="S529" s="272"/>
      <c r="T529" s="272"/>
      <c r="U529" s="272"/>
      <c r="V529" s="272"/>
      <c r="W529" s="272"/>
      <c r="X529" s="272"/>
      <c r="Y529" s="272"/>
      <c r="Z529" s="272"/>
      <c r="AA529" s="272"/>
      <c r="AB529" s="272"/>
      <c r="AC529" s="272"/>
      <c r="AD529" s="272"/>
      <c r="AE529" s="272"/>
      <c r="AF529" s="272"/>
      <c r="AG529" s="273"/>
      <c r="AH529" s="272"/>
      <c r="AI529" s="274"/>
      <c r="AJ529" s="272"/>
      <c r="AK529" s="272"/>
      <c r="AL529" s="273"/>
      <c r="AM529" s="273"/>
      <c r="AN529" s="273"/>
      <c r="AO529" s="273"/>
      <c r="AP529" s="273"/>
      <c r="AQ529" s="273"/>
      <c r="AR529" s="275"/>
    </row>
    <row r="530" spans="1:44" ht="45" hidden="1" x14ac:dyDescent="0.2">
      <c r="A530" s="276"/>
      <c r="B530" s="277"/>
      <c r="C530" s="278" t="s">
        <v>278</v>
      </c>
      <c r="D530" s="279" t="s">
        <v>279</v>
      </c>
      <c r="E530" s="278"/>
      <c r="F530" s="278"/>
      <c r="G530" s="280">
        <v>2019</v>
      </c>
      <c r="H530" s="280">
        <v>2020</v>
      </c>
      <c r="I530" s="280">
        <v>2021</v>
      </c>
      <c r="J530" s="280">
        <v>2022</v>
      </c>
      <c r="K530" s="280">
        <v>2023</v>
      </c>
      <c r="L530" s="281">
        <v>45352</v>
      </c>
      <c r="M530" s="280">
        <v>2024</v>
      </c>
      <c r="N530" s="278">
        <v>2025</v>
      </c>
      <c r="O530" s="278">
        <v>2026</v>
      </c>
      <c r="P530" s="278">
        <v>2027</v>
      </c>
      <c r="Q530" s="278">
        <v>2028</v>
      </c>
      <c r="R530" s="278">
        <v>2029</v>
      </c>
      <c r="S530" s="278">
        <v>2030</v>
      </c>
      <c r="T530" s="278">
        <v>2031</v>
      </c>
      <c r="U530" s="278">
        <v>2032</v>
      </c>
      <c r="V530" s="278">
        <v>2033</v>
      </c>
      <c r="W530" s="278">
        <v>2034</v>
      </c>
      <c r="X530" s="278">
        <v>2035</v>
      </c>
      <c r="Y530" s="278">
        <v>2036</v>
      </c>
      <c r="Z530" s="278">
        <v>2037</v>
      </c>
      <c r="AA530" s="278">
        <v>2038</v>
      </c>
      <c r="AB530" s="278">
        <v>2039</v>
      </c>
      <c r="AC530" s="278">
        <v>2040</v>
      </c>
      <c r="AD530" s="278">
        <v>2041</v>
      </c>
      <c r="AE530" s="278">
        <v>2042</v>
      </c>
      <c r="AF530" s="278">
        <v>2043</v>
      </c>
      <c r="AG530" s="278">
        <v>2044</v>
      </c>
      <c r="AH530" s="278">
        <v>2045</v>
      </c>
      <c r="AI530" s="278">
        <v>2046</v>
      </c>
      <c r="AJ530" s="278">
        <v>2047</v>
      </c>
      <c r="AK530" s="278">
        <v>2048</v>
      </c>
      <c r="AL530" s="278">
        <v>2049</v>
      </c>
      <c r="AM530" s="278">
        <v>2050</v>
      </c>
      <c r="AN530" s="278">
        <v>2051</v>
      </c>
      <c r="AO530" s="278">
        <v>2052</v>
      </c>
      <c r="AP530" s="278">
        <v>2053</v>
      </c>
      <c r="AQ530" s="278">
        <v>2054</v>
      </c>
      <c r="AR530" s="282">
        <v>2055</v>
      </c>
    </row>
    <row r="531" spans="1:44" hidden="1" x14ac:dyDescent="0.2">
      <c r="A531" s="283"/>
      <c r="B531" s="284"/>
      <c r="C531" s="285"/>
      <c r="D531" s="286"/>
      <c r="E531" s="287"/>
      <c r="F531" s="285"/>
      <c r="G531" s="285" t="s">
        <v>243</v>
      </c>
      <c r="H531" s="285" t="s">
        <v>243</v>
      </c>
      <c r="I531" s="285" t="s">
        <v>243</v>
      </c>
      <c r="J531" s="285" t="s">
        <v>243</v>
      </c>
      <c r="K531" s="285" t="s">
        <v>243</v>
      </c>
      <c r="L531" s="285" t="s">
        <v>244</v>
      </c>
      <c r="M531" s="285" t="s">
        <v>245</v>
      </c>
      <c r="N531" s="285"/>
      <c r="O531" s="285"/>
      <c r="P531" s="285"/>
      <c r="Q531" s="285"/>
      <c r="R531" s="285"/>
      <c r="S531" s="285"/>
      <c r="T531" s="285"/>
      <c r="U531" s="288"/>
      <c r="V531" s="289"/>
      <c r="W531" s="285"/>
      <c r="X531" s="285"/>
      <c r="Y531" s="285"/>
      <c r="Z531" s="285"/>
      <c r="AA531" s="285"/>
      <c r="AB531" s="285"/>
      <c r="AC531" s="285"/>
      <c r="AD531" s="285"/>
      <c r="AE531" s="285"/>
      <c r="AF531" s="285"/>
      <c r="AG531" s="285"/>
      <c r="AH531" s="285"/>
      <c r="AI531" s="285"/>
      <c r="AJ531" s="285"/>
      <c r="AK531" s="285"/>
      <c r="AL531" s="285"/>
      <c r="AM531" s="285"/>
      <c r="AN531" s="285"/>
      <c r="AO531" s="285"/>
      <c r="AP531" s="285"/>
      <c r="AQ531" s="285"/>
      <c r="AR531" s="290"/>
    </row>
    <row r="532" spans="1:44" hidden="1" x14ac:dyDescent="0.2">
      <c r="A532" s="283"/>
      <c r="B532" s="291">
        <v>1</v>
      </c>
      <c r="C532" s="283" t="s">
        <v>220</v>
      </c>
      <c r="D532" s="292" t="s">
        <v>221</v>
      </c>
      <c r="E532" s="283"/>
      <c r="F532" s="283"/>
      <c r="G532" s="312"/>
      <c r="H532" s="312"/>
      <c r="I532" s="312"/>
      <c r="J532" s="312"/>
      <c r="K532" s="312"/>
      <c r="L532" s="312"/>
      <c r="M532" s="312"/>
      <c r="N532" s="312">
        <v>0</v>
      </c>
      <c r="O532" s="312">
        <v>0</v>
      </c>
      <c r="P532" s="312">
        <v>0</v>
      </c>
      <c r="Q532" s="312">
        <v>0</v>
      </c>
      <c r="R532" s="313">
        <v>0</v>
      </c>
      <c r="S532" s="313">
        <v>0</v>
      </c>
      <c r="T532" s="313">
        <v>0</v>
      </c>
      <c r="U532" s="313">
        <v>0</v>
      </c>
      <c r="V532" s="313">
        <v>0</v>
      </c>
      <c r="W532" s="313">
        <v>0</v>
      </c>
      <c r="X532" s="313">
        <v>0</v>
      </c>
      <c r="Y532" s="313">
        <v>0</v>
      </c>
      <c r="Z532" s="313">
        <v>0</v>
      </c>
      <c r="AA532" s="313">
        <v>0</v>
      </c>
      <c r="AB532" s="313">
        <v>0</v>
      </c>
      <c r="AC532" s="313">
        <v>0</v>
      </c>
      <c r="AD532" s="313">
        <v>0</v>
      </c>
      <c r="AE532" s="313">
        <v>0</v>
      </c>
      <c r="AF532" s="313">
        <v>0</v>
      </c>
      <c r="AG532" s="313">
        <v>0</v>
      </c>
      <c r="AH532" s="313">
        <v>0</v>
      </c>
      <c r="AI532" s="313">
        <v>0</v>
      </c>
      <c r="AJ532" s="313">
        <v>0</v>
      </c>
      <c r="AK532" s="313">
        <v>0</v>
      </c>
      <c r="AL532" s="313">
        <v>0</v>
      </c>
      <c r="AM532" s="313">
        <v>0</v>
      </c>
      <c r="AN532" s="313">
        <v>0</v>
      </c>
      <c r="AO532" s="313">
        <v>0</v>
      </c>
      <c r="AP532" s="313">
        <v>0</v>
      </c>
      <c r="AQ532" s="313">
        <v>0</v>
      </c>
      <c r="AR532" s="314">
        <v>0</v>
      </c>
    </row>
    <row r="533" spans="1:44" hidden="1" x14ac:dyDescent="0.2">
      <c r="A533" s="283"/>
      <c r="B533" s="291">
        <v>2</v>
      </c>
      <c r="C533" s="283" t="s">
        <v>222</v>
      </c>
      <c r="D533" s="292" t="s">
        <v>223</v>
      </c>
      <c r="E533" s="283"/>
      <c r="F533" s="283"/>
      <c r="G533" s="312"/>
      <c r="H533" s="312"/>
      <c r="I533" s="312"/>
      <c r="J533" s="312"/>
      <c r="K533" s="312"/>
      <c r="L533" s="312"/>
      <c r="M533" s="312"/>
      <c r="N533" s="312">
        <v>4.7685950413223141E-3</v>
      </c>
      <c r="O533" s="312">
        <v>4.7685950413223141E-3</v>
      </c>
      <c r="P533" s="312">
        <v>4.7685950413223141E-3</v>
      </c>
      <c r="Q533" s="312">
        <v>4.7685950413223141E-3</v>
      </c>
      <c r="R533" s="313">
        <v>4.7685950413223141E-3</v>
      </c>
      <c r="S533" s="313">
        <v>4.7685950413223141E-3</v>
      </c>
      <c r="T533" s="313">
        <v>4.7685950413223141E-3</v>
      </c>
      <c r="U533" s="313">
        <v>4.7685950413223141E-3</v>
      </c>
      <c r="V533" s="313">
        <v>4.7685950413223141E-3</v>
      </c>
      <c r="W533" s="313">
        <v>4.7685950413223141E-3</v>
      </c>
      <c r="X533" s="313">
        <v>4.7685950413223141E-3</v>
      </c>
      <c r="Y533" s="313">
        <v>4.7685950413223141E-3</v>
      </c>
      <c r="Z533" s="313">
        <v>4.7685950413223141E-3</v>
      </c>
      <c r="AA533" s="313">
        <v>4.7685950413223141E-3</v>
      </c>
      <c r="AB533" s="313">
        <v>4.7685950413223141E-3</v>
      </c>
      <c r="AC533" s="313">
        <v>4.7685950413223141E-3</v>
      </c>
      <c r="AD533" s="313">
        <v>4.7685950413223141E-3</v>
      </c>
      <c r="AE533" s="313">
        <v>4.7685950413223141E-3</v>
      </c>
      <c r="AF533" s="313">
        <v>4.7685950413223141E-3</v>
      </c>
      <c r="AG533" s="313">
        <v>4.7685950413223141E-3</v>
      </c>
      <c r="AH533" s="313">
        <v>4.7685950413223141E-3</v>
      </c>
      <c r="AI533" s="313">
        <v>4.7685950413223141E-3</v>
      </c>
      <c r="AJ533" s="313">
        <v>4.7685950413223141E-3</v>
      </c>
      <c r="AK533" s="313">
        <v>4.7685950413223141E-3</v>
      </c>
      <c r="AL533" s="313">
        <v>4.7685950413223141E-3</v>
      </c>
      <c r="AM533" s="313">
        <v>4.7685950413223141E-3</v>
      </c>
      <c r="AN533" s="313">
        <v>4.7685950413223141E-3</v>
      </c>
      <c r="AO533" s="313">
        <v>4.7685950413223141E-3</v>
      </c>
      <c r="AP533" s="313">
        <v>4.7685950413223141E-3</v>
      </c>
      <c r="AQ533" s="313">
        <v>4.7685950413223141E-3</v>
      </c>
      <c r="AR533" s="314">
        <v>4.7685950413223141E-3</v>
      </c>
    </row>
    <row r="534" spans="1:44" hidden="1" x14ac:dyDescent="0.2">
      <c r="A534" s="283"/>
      <c r="B534" s="291">
        <v>3</v>
      </c>
      <c r="C534" s="283" t="s">
        <v>224</v>
      </c>
      <c r="D534" s="292" t="s">
        <v>225</v>
      </c>
      <c r="E534" s="283"/>
      <c r="F534" s="283"/>
      <c r="G534" s="312"/>
      <c r="H534" s="312"/>
      <c r="I534" s="312"/>
      <c r="J534" s="312"/>
      <c r="K534" s="312"/>
      <c r="L534" s="312"/>
      <c r="M534" s="312"/>
      <c r="N534" s="312">
        <v>0</v>
      </c>
      <c r="O534" s="312">
        <v>0</v>
      </c>
      <c r="P534" s="312">
        <v>0</v>
      </c>
      <c r="Q534" s="312">
        <v>0</v>
      </c>
      <c r="R534" s="313">
        <v>0</v>
      </c>
      <c r="S534" s="313">
        <v>0</v>
      </c>
      <c r="T534" s="313">
        <v>0</v>
      </c>
      <c r="U534" s="313">
        <v>0</v>
      </c>
      <c r="V534" s="313">
        <v>0</v>
      </c>
      <c r="W534" s="313">
        <v>0</v>
      </c>
      <c r="X534" s="313">
        <v>0</v>
      </c>
      <c r="Y534" s="313">
        <v>0</v>
      </c>
      <c r="Z534" s="313">
        <v>0</v>
      </c>
      <c r="AA534" s="313">
        <v>0</v>
      </c>
      <c r="AB534" s="313">
        <v>0</v>
      </c>
      <c r="AC534" s="313">
        <v>0</v>
      </c>
      <c r="AD534" s="313">
        <v>0</v>
      </c>
      <c r="AE534" s="313">
        <v>0</v>
      </c>
      <c r="AF534" s="313">
        <v>0</v>
      </c>
      <c r="AG534" s="313">
        <v>0</v>
      </c>
      <c r="AH534" s="313">
        <v>0</v>
      </c>
      <c r="AI534" s="313">
        <v>0</v>
      </c>
      <c r="AJ534" s="313">
        <v>0</v>
      </c>
      <c r="AK534" s="313">
        <v>0</v>
      </c>
      <c r="AL534" s="313">
        <v>0</v>
      </c>
      <c r="AM534" s="313">
        <v>0</v>
      </c>
      <c r="AN534" s="313">
        <v>0</v>
      </c>
      <c r="AO534" s="313">
        <v>0</v>
      </c>
      <c r="AP534" s="313">
        <v>0</v>
      </c>
      <c r="AQ534" s="313">
        <v>0</v>
      </c>
      <c r="AR534" s="314">
        <v>0</v>
      </c>
    </row>
    <row r="535" spans="1:44" hidden="1" x14ac:dyDescent="0.2">
      <c r="A535" s="283"/>
      <c r="B535" s="291">
        <v>4</v>
      </c>
      <c r="C535" s="283" t="s">
        <v>226</v>
      </c>
      <c r="D535" s="292" t="s">
        <v>227</v>
      </c>
      <c r="E535" s="283"/>
      <c r="F535" s="283"/>
      <c r="G535" s="312"/>
      <c r="H535" s="312"/>
      <c r="I535" s="312"/>
      <c r="J535" s="312"/>
      <c r="K535" s="312"/>
      <c r="L535" s="312"/>
      <c r="M535" s="312"/>
      <c r="N535" s="312">
        <v>0</v>
      </c>
      <c r="O535" s="312">
        <v>0</v>
      </c>
      <c r="P535" s="312">
        <v>0</v>
      </c>
      <c r="Q535" s="312">
        <v>0</v>
      </c>
      <c r="R535" s="313">
        <v>0</v>
      </c>
      <c r="S535" s="313">
        <v>0</v>
      </c>
      <c r="T535" s="313">
        <v>0</v>
      </c>
      <c r="U535" s="313">
        <v>0</v>
      </c>
      <c r="V535" s="313">
        <v>0</v>
      </c>
      <c r="W535" s="313">
        <v>0</v>
      </c>
      <c r="X535" s="313">
        <v>0</v>
      </c>
      <c r="Y535" s="313">
        <v>0</v>
      </c>
      <c r="Z535" s="313">
        <v>0</v>
      </c>
      <c r="AA535" s="313">
        <v>0</v>
      </c>
      <c r="AB535" s="313">
        <v>0</v>
      </c>
      <c r="AC535" s="313">
        <v>0</v>
      </c>
      <c r="AD535" s="313">
        <v>0</v>
      </c>
      <c r="AE535" s="313">
        <v>0</v>
      </c>
      <c r="AF535" s="313">
        <v>0</v>
      </c>
      <c r="AG535" s="313">
        <v>0</v>
      </c>
      <c r="AH535" s="313">
        <v>0</v>
      </c>
      <c r="AI535" s="313">
        <v>0</v>
      </c>
      <c r="AJ535" s="313">
        <v>0</v>
      </c>
      <c r="AK535" s="313">
        <v>0</v>
      </c>
      <c r="AL535" s="313">
        <v>0</v>
      </c>
      <c r="AM535" s="313">
        <v>0</v>
      </c>
      <c r="AN535" s="313">
        <v>0</v>
      </c>
      <c r="AO535" s="313">
        <v>0</v>
      </c>
      <c r="AP535" s="313">
        <v>0</v>
      </c>
      <c r="AQ535" s="313">
        <v>0</v>
      </c>
      <c r="AR535" s="314">
        <v>0</v>
      </c>
    </row>
    <row r="536" spans="1:44" hidden="1" x14ac:dyDescent="0.2">
      <c r="A536" s="283"/>
      <c r="B536" s="291">
        <v>5</v>
      </c>
      <c r="C536" s="283" t="s">
        <v>228</v>
      </c>
      <c r="D536" s="292" t="s">
        <v>221</v>
      </c>
      <c r="E536" s="283"/>
      <c r="F536" s="283"/>
      <c r="G536" s="312"/>
      <c r="H536" s="312"/>
      <c r="I536" s="312"/>
      <c r="J536" s="312"/>
      <c r="K536" s="312"/>
      <c r="L536" s="312"/>
      <c r="M536" s="312"/>
      <c r="N536" s="312">
        <v>0</v>
      </c>
      <c r="O536" s="312">
        <v>0</v>
      </c>
      <c r="P536" s="312">
        <v>0</v>
      </c>
      <c r="Q536" s="312">
        <v>0</v>
      </c>
      <c r="R536" s="313">
        <v>0</v>
      </c>
      <c r="S536" s="313">
        <v>0</v>
      </c>
      <c r="T536" s="313">
        <v>0</v>
      </c>
      <c r="U536" s="313">
        <v>0</v>
      </c>
      <c r="V536" s="313">
        <v>0</v>
      </c>
      <c r="W536" s="313">
        <v>0</v>
      </c>
      <c r="X536" s="313">
        <v>0</v>
      </c>
      <c r="Y536" s="313">
        <v>0</v>
      </c>
      <c r="Z536" s="313">
        <v>0</v>
      </c>
      <c r="AA536" s="313">
        <v>0</v>
      </c>
      <c r="AB536" s="313">
        <v>0</v>
      </c>
      <c r="AC536" s="313">
        <v>0</v>
      </c>
      <c r="AD536" s="313">
        <v>0</v>
      </c>
      <c r="AE536" s="313">
        <v>0</v>
      </c>
      <c r="AF536" s="313">
        <v>0</v>
      </c>
      <c r="AG536" s="313">
        <v>0</v>
      </c>
      <c r="AH536" s="313">
        <v>0</v>
      </c>
      <c r="AI536" s="313">
        <v>0</v>
      </c>
      <c r="AJ536" s="313">
        <v>0</v>
      </c>
      <c r="AK536" s="313">
        <v>0</v>
      </c>
      <c r="AL536" s="313">
        <v>0</v>
      </c>
      <c r="AM536" s="313">
        <v>0</v>
      </c>
      <c r="AN536" s="313">
        <v>0</v>
      </c>
      <c r="AO536" s="313">
        <v>0</v>
      </c>
      <c r="AP536" s="313">
        <v>0</v>
      </c>
      <c r="AQ536" s="313">
        <v>0</v>
      </c>
      <c r="AR536" s="314">
        <v>0</v>
      </c>
    </row>
    <row r="537" spans="1:44" hidden="1" x14ac:dyDescent="0.2">
      <c r="A537" s="283"/>
      <c r="B537" s="291">
        <v>6</v>
      </c>
      <c r="C537" s="283" t="s">
        <v>229</v>
      </c>
      <c r="D537" s="292" t="s">
        <v>230</v>
      </c>
      <c r="E537" s="283"/>
      <c r="F537" s="283"/>
      <c r="G537" s="312"/>
      <c r="H537" s="312"/>
      <c r="I537" s="312"/>
      <c r="J537" s="312"/>
      <c r="K537" s="312"/>
      <c r="L537" s="312"/>
      <c r="M537" s="312"/>
      <c r="N537" s="312">
        <v>0</v>
      </c>
      <c r="O537" s="312">
        <v>0</v>
      </c>
      <c r="P537" s="312">
        <v>0</v>
      </c>
      <c r="Q537" s="312">
        <v>0</v>
      </c>
      <c r="R537" s="313">
        <v>0</v>
      </c>
      <c r="S537" s="313">
        <v>0</v>
      </c>
      <c r="T537" s="313">
        <v>0</v>
      </c>
      <c r="U537" s="313">
        <v>0</v>
      </c>
      <c r="V537" s="313">
        <v>0</v>
      </c>
      <c r="W537" s="313">
        <v>0</v>
      </c>
      <c r="X537" s="313">
        <v>0</v>
      </c>
      <c r="Y537" s="313">
        <v>0</v>
      </c>
      <c r="Z537" s="313">
        <v>0</v>
      </c>
      <c r="AA537" s="313">
        <v>0</v>
      </c>
      <c r="AB537" s="313">
        <v>0</v>
      </c>
      <c r="AC537" s="313">
        <v>0</v>
      </c>
      <c r="AD537" s="313">
        <v>0</v>
      </c>
      <c r="AE537" s="313">
        <v>0</v>
      </c>
      <c r="AF537" s="313">
        <v>0</v>
      </c>
      <c r="AG537" s="313">
        <v>0</v>
      </c>
      <c r="AH537" s="313">
        <v>0</v>
      </c>
      <c r="AI537" s="313">
        <v>0</v>
      </c>
      <c r="AJ537" s="313">
        <v>0</v>
      </c>
      <c r="AK537" s="313">
        <v>0</v>
      </c>
      <c r="AL537" s="313">
        <v>0</v>
      </c>
      <c r="AM537" s="313">
        <v>0</v>
      </c>
      <c r="AN537" s="313">
        <v>0</v>
      </c>
      <c r="AO537" s="313">
        <v>0</v>
      </c>
      <c r="AP537" s="313">
        <v>0</v>
      </c>
      <c r="AQ537" s="313">
        <v>0</v>
      </c>
      <c r="AR537" s="314">
        <v>0</v>
      </c>
    </row>
    <row r="538" spans="1:44" hidden="1" x14ac:dyDescent="0.2">
      <c r="A538" s="283"/>
      <c r="B538" s="291">
        <v>7</v>
      </c>
      <c r="C538" s="283" t="s">
        <v>231</v>
      </c>
      <c r="D538" s="292" t="s">
        <v>225</v>
      </c>
      <c r="E538" s="283"/>
      <c r="F538" s="283"/>
      <c r="G538" s="312"/>
      <c r="H538" s="312"/>
      <c r="I538" s="312"/>
      <c r="J538" s="312"/>
      <c r="K538" s="312"/>
      <c r="L538" s="312"/>
      <c r="M538" s="312"/>
      <c r="N538" s="312">
        <v>0</v>
      </c>
      <c r="O538" s="312">
        <v>0</v>
      </c>
      <c r="P538" s="312">
        <v>0</v>
      </c>
      <c r="Q538" s="312">
        <v>0</v>
      </c>
      <c r="R538" s="313">
        <v>0</v>
      </c>
      <c r="S538" s="313">
        <v>0</v>
      </c>
      <c r="T538" s="313">
        <v>0</v>
      </c>
      <c r="U538" s="313">
        <v>0</v>
      </c>
      <c r="V538" s="313">
        <v>0</v>
      </c>
      <c r="W538" s="313">
        <v>0</v>
      </c>
      <c r="X538" s="313">
        <v>0</v>
      </c>
      <c r="Y538" s="313">
        <v>0</v>
      </c>
      <c r="Z538" s="313">
        <v>0</v>
      </c>
      <c r="AA538" s="313">
        <v>0</v>
      </c>
      <c r="AB538" s="313">
        <v>0</v>
      </c>
      <c r="AC538" s="313">
        <v>0</v>
      </c>
      <c r="AD538" s="313">
        <v>0</v>
      </c>
      <c r="AE538" s="313">
        <v>0</v>
      </c>
      <c r="AF538" s="313">
        <v>0</v>
      </c>
      <c r="AG538" s="313">
        <v>0</v>
      </c>
      <c r="AH538" s="313">
        <v>0</v>
      </c>
      <c r="AI538" s="313">
        <v>0</v>
      </c>
      <c r="AJ538" s="313">
        <v>0</v>
      </c>
      <c r="AK538" s="313">
        <v>0</v>
      </c>
      <c r="AL538" s="313">
        <v>0</v>
      </c>
      <c r="AM538" s="313">
        <v>0</v>
      </c>
      <c r="AN538" s="313">
        <v>0</v>
      </c>
      <c r="AO538" s="313">
        <v>0</v>
      </c>
      <c r="AP538" s="313">
        <v>0</v>
      </c>
      <c r="AQ538" s="313">
        <v>0</v>
      </c>
      <c r="AR538" s="314">
        <v>0</v>
      </c>
    </row>
    <row r="539" spans="1:44" hidden="1" x14ac:dyDescent="0.2">
      <c r="A539" s="283"/>
      <c r="B539" s="291">
        <v>8</v>
      </c>
      <c r="C539" s="283" t="s">
        <v>232</v>
      </c>
      <c r="D539" s="292" t="s">
        <v>233</v>
      </c>
      <c r="E539" s="283"/>
      <c r="F539" s="283"/>
      <c r="G539" s="312"/>
      <c r="H539" s="312"/>
      <c r="I539" s="312"/>
      <c r="J539" s="312"/>
      <c r="K539" s="312"/>
      <c r="L539" s="312"/>
      <c r="M539" s="312"/>
      <c r="N539" s="312">
        <v>1.3039024680176612</v>
      </c>
      <c r="O539" s="312">
        <v>1.3039024680176612</v>
      </c>
      <c r="P539" s="312">
        <v>1.3039024680176612</v>
      </c>
      <c r="Q539" s="312">
        <v>1.3039024680176612</v>
      </c>
      <c r="R539" s="313">
        <v>1.3039024680176612</v>
      </c>
      <c r="S539" s="313">
        <v>1.3039024680176612</v>
      </c>
      <c r="T539" s="313">
        <v>1.3039024680176612</v>
      </c>
      <c r="U539" s="313">
        <v>1.3039024680176612</v>
      </c>
      <c r="V539" s="313">
        <v>1.3039024680176612</v>
      </c>
      <c r="W539" s="313">
        <v>1.3039024680176612</v>
      </c>
      <c r="X539" s="313">
        <v>1.3039024680176612</v>
      </c>
      <c r="Y539" s="313">
        <v>1.3039024680176612</v>
      </c>
      <c r="Z539" s="313">
        <v>1.3039024680176612</v>
      </c>
      <c r="AA539" s="313">
        <v>1.3039024680176612</v>
      </c>
      <c r="AB539" s="313">
        <v>1.3039024680176612</v>
      </c>
      <c r="AC539" s="313">
        <v>1.3039024680176612</v>
      </c>
      <c r="AD539" s="313">
        <v>1.3039024680176612</v>
      </c>
      <c r="AE539" s="313">
        <v>1.3039024680176612</v>
      </c>
      <c r="AF539" s="313">
        <v>1.3039024680176612</v>
      </c>
      <c r="AG539" s="313">
        <v>1.3039024680176612</v>
      </c>
      <c r="AH539" s="313">
        <v>1.3039024680176612</v>
      </c>
      <c r="AI539" s="313">
        <v>1.3039024680176612</v>
      </c>
      <c r="AJ539" s="313">
        <v>1.3039024680176612</v>
      </c>
      <c r="AK539" s="313">
        <v>1.3039024680176612</v>
      </c>
      <c r="AL539" s="313">
        <v>1.3039024680176612</v>
      </c>
      <c r="AM539" s="313">
        <v>1.3039024680176612</v>
      </c>
      <c r="AN539" s="313">
        <v>1.3039024680176612</v>
      </c>
      <c r="AO539" s="313">
        <v>1.3039024680176612</v>
      </c>
      <c r="AP539" s="313">
        <v>1.3039024680176612</v>
      </c>
      <c r="AQ539" s="313">
        <v>1.3039024680176612</v>
      </c>
      <c r="AR539" s="314">
        <v>1.3039024680176612</v>
      </c>
    </row>
    <row r="540" spans="1:44" hidden="1" x14ac:dyDescent="0.2">
      <c r="B540" s="304"/>
      <c r="C540" s="158" t="s">
        <v>84</v>
      </c>
      <c r="D540" s="159"/>
      <c r="E540" s="158"/>
      <c r="F540" s="158"/>
      <c r="G540" s="315">
        <v>0</v>
      </c>
      <c r="H540" s="315">
        <v>0</v>
      </c>
      <c r="I540" s="315">
        <v>0</v>
      </c>
      <c r="J540" s="315">
        <v>0</v>
      </c>
      <c r="K540" s="315">
        <v>0</v>
      </c>
      <c r="L540" s="315">
        <v>0</v>
      </c>
      <c r="M540" s="315">
        <v>0</v>
      </c>
      <c r="N540" s="316">
        <v>1.3086710630589835</v>
      </c>
      <c r="O540" s="316">
        <v>1.3086710630589835</v>
      </c>
      <c r="P540" s="316">
        <v>1.3086710630589835</v>
      </c>
      <c r="Q540" s="316">
        <v>1.3086710630589835</v>
      </c>
      <c r="R540" s="316">
        <v>1.3086710630589835</v>
      </c>
      <c r="S540" s="316">
        <v>1.3086710630589835</v>
      </c>
      <c r="T540" s="316">
        <v>1.3086710630589835</v>
      </c>
      <c r="U540" s="316">
        <v>1.3086710630589835</v>
      </c>
      <c r="V540" s="316">
        <v>1.3086710630589835</v>
      </c>
      <c r="W540" s="316">
        <v>1.3086710630589835</v>
      </c>
      <c r="X540" s="316">
        <v>1.3086710630589835</v>
      </c>
      <c r="Y540" s="316">
        <v>1.3086710630589835</v>
      </c>
      <c r="Z540" s="316">
        <v>1.3086710630589835</v>
      </c>
      <c r="AA540" s="316">
        <v>1.3086710630589835</v>
      </c>
      <c r="AB540" s="316">
        <v>1.3086710630589835</v>
      </c>
      <c r="AC540" s="316">
        <v>1.3086710630589835</v>
      </c>
      <c r="AD540" s="316">
        <v>1.3086710630589835</v>
      </c>
      <c r="AE540" s="316">
        <v>1.3086710630589835</v>
      </c>
      <c r="AF540" s="316">
        <v>1.3086710630589835</v>
      </c>
      <c r="AG540" s="316">
        <v>1.3086710630589835</v>
      </c>
      <c r="AH540" s="316">
        <v>1.3086710630589835</v>
      </c>
      <c r="AI540" s="316">
        <v>1.3086710630589835</v>
      </c>
      <c r="AJ540" s="316">
        <v>1.3086710630589835</v>
      </c>
      <c r="AK540" s="316">
        <v>1.3086710630589835</v>
      </c>
      <c r="AL540" s="316">
        <v>1.3086710630589835</v>
      </c>
      <c r="AM540" s="316">
        <v>1.3086710630589835</v>
      </c>
      <c r="AN540" s="316">
        <v>1.3086710630589835</v>
      </c>
      <c r="AO540" s="316">
        <v>1.3086710630589835</v>
      </c>
      <c r="AP540" s="316">
        <v>1.3086710630589835</v>
      </c>
      <c r="AQ540" s="316">
        <v>1.3086710630589835</v>
      </c>
      <c r="AR540" s="317">
        <v>1.3086710630589835</v>
      </c>
    </row>
    <row r="541" spans="1:44" hidden="1" x14ac:dyDescent="0.2">
      <c r="A541" s="300"/>
      <c r="B541" s="301"/>
      <c r="C541" s="300"/>
      <c r="D541" s="300"/>
      <c r="E541" s="300"/>
      <c r="F541" s="300"/>
      <c r="G541" s="302"/>
      <c r="H541" s="302"/>
      <c r="I541" s="302"/>
      <c r="J541" s="302"/>
      <c r="K541" s="302"/>
      <c r="L541" s="302"/>
      <c r="M541" s="302"/>
      <c r="N541" s="302"/>
      <c r="O541" s="302"/>
      <c r="P541" s="302"/>
      <c r="Q541" s="300"/>
      <c r="R541" s="300"/>
      <c r="S541" s="300"/>
      <c r="T541" s="300"/>
      <c r="U541" s="300"/>
      <c r="V541" s="300"/>
      <c r="W541" s="300"/>
      <c r="X541" s="300"/>
      <c r="Y541" s="300"/>
      <c r="Z541" s="300"/>
      <c r="AA541" s="300"/>
      <c r="AB541" s="300"/>
      <c r="AC541" s="300"/>
      <c r="AD541" s="300"/>
      <c r="AE541" s="300"/>
      <c r="AF541" s="300"/>
      <c r="AG541" s="300"/>
      <c r="AH541" s="300"/>
      <c r="AI541" s="300"/>
      <c r="AJ541" s="300"/>
      <c r="AK541" s="300"/>
      <c r="AL541" s="300"/>
      <c r="AM541" s="300"/>
      <c r="AN541" s="300"/>
      <c r="AO541" s="300"/>
      <c r="AP541" s="300"/>
      <c r="AQ541" s="300"/>
      <c r="AR541" s="303"/>
    </row>
    <row r="542" spans="1:44" hidden="1" x14ac:dyDescent="0.2">
      <c r="A542" s="270"/>
      <c r="B542" s="271"/>
      <c r="C542" s="272" t="s">
        <v>293</v>
      </c>
      <c r="D542" s="272"/>
      <c r="E542" s="272"/>
      <c r="F542" s="272"/>
      <c r="G542" s="272"/>
      <c r="H542" s="272"/>
      <c r="I542" s="272"/>
      <c r="J542" s="272"/>
      <c r="K542" s="272"/>
      <c r="L542" s="272"/>
      <c r="M542" s="272"/>
      <c r="N542" s="272"/>
      <c r="O542" s="272"/>
      <c r="P542" s="272"/>
      <c r="Q542" s="272"/>
      <c r="R542" s="272"/>
      <c r="S542" s="272"/>
      <c r="T542" s="272"/>
      <c r="U542" s="272"/>
      <c r="V542" s="272"/>
      <c r="W542" s="272"/>
      <c r="X542" s="272"/>
      <c r="Y542" s="272"/>
      <c r="Z542" s="272"/>
      <c r="AA542" s="272"/>
      <c r="AB542" s="272"/>
      <c r="AC542" s="272"/>
      <c r="AD542" s="272"/>
      <c r="AE542" s="272"/>
      <c r="AF542" s="272"/>
      <c r="AG542" s="273"/>
      <c r="AH542" s="272"/>
      <c r="AI542" s="274"/>
      <c r="AJ542" s="272"/>
      <c r="AK542" s="272"/>
      <c r="AL542" s="273"/>
      <c r="AM542" s="273"/>
      <c r="AN542" s="273"/>
      <c r="AO542" s="273"/>
      <c r="AP542" s="273"/>
      <c r="AQ542" s="273"/>
      <c r="AR542" s="275"/>
    </row>
    <row r="543" spans="1:44" ht="45" hidden="1" x14ac:dyDescent="0.2">
      <c r="A543" s="276"/>
      <c r="B543" s="277"/>
      <c r="C543" s="278" t="s">
        <v>278</v>
      </c>
      <c r="D543" s="279" t="s">
        <v>279</v>
      </c>
      <c r="E543" s="278"/>
      <c r="F543" s="278"/>
      <c r="G543" s="280">
        <v>2019</v>
      </c>
      <c r="H543" s="280">
        <v>2020</v>
      </c>
      <c r="I543" s="280">
        <v>2021</v>
      </c>
      <c r="J543" s="280">
        <v>2022</v>
      </c>
      <c r="K543" s="280">
        <v>2023</v>
      </c>
      <c r="L543" s="281">
        <v>45352</v>
      </c>
      <c r="M543" s="280">
        <v>2024</v>
      </c>
      <c r="N543" s="278">
        <v>2025</v>
      </c>
      <c r="O543" s="278">
        <v>2026</v>
      </c>
      <c r="P543" s="278">
        <v>2027</v>
      </c>
      <c r="Q543" s="278">
        <v>2028</v>
      </c>
      <c r="R543" s="278">
        <v>2029</v>
      </c>
      <c r="S543" s="278">
        <v>2030</v>
      </c>
      <c r="T543" s="278">
        <v>2031</v>
      </c>
      <c r="U543" s="278">
        <v>2032</v>
      </c>
      <c r="V543" s="278">
        <v>2033</v>
      </c>
      <c r="W543" s="278">
        <v>2034</v>
      </c>
      <c r="X543" s="278">
        <v>2035</v>
      </c>
      <c r="Y543" s="278">
        <v>2036</v>
      </c>
      <c r="Z543" s="278">
        <v>2037</v>
      </c>
      <c r="AA543" s="278">
        <v>2038</v>
      </c>
      <c r="AB543" s="278">
        <v>2039</v>
      </c>
      <c r="AC543" s="278">
        <v>2040</v>
      </c>
      <c r="AD543" s="278">
        <v>2041</v>
      </c>
      <c r="AE543" s="278">
        <v>2042</v>
      </c>
      <c r="AF543" s="278">
        <v>2043</v>
      </c>
      <c r="AG543" s="278">
        <v>2044</v>
      </c>
      <c r="AH543" s="278">
        <v>2045</v>
      </c>
      <c r="AI543" s="278">
        <v>2046</v>
      </c>
      <c r="AJ543" s="278">
        <v>2047</v>
      </c>
      <c r="AK543" s="278">
        <v>2048</v>
      </c>
      <c r="AL543" s="278">
        <v>2049</v>
      </c>
      <c r="AM543" s="278">
        <v>2050</v>
      </c>
      <c r="AN543" s="278">
        <v>2051</v>
      </c>
      <c r="AO543" s="278">
        <v>2052</v>
      </c>
      <c r="AP543" s="278">
        <v>2053</v>
      </c>
      <c r="AQ543" s="278">
        <v>2054</v>
      </c>
      <c r="AR543" s="282">
        <v>2055</v>
      </c>
    </row>
    <row r="544" spans="1:44" hidden="1" x14ac:dyDescent="0.2">
      <c r="A544" s="283"/>
      <c r="B544" s="284"/>
      <c r="C544" s="285"/>
      <c r="D544" s="286"/>
      <c r="E544" s="287"/>
      <c r="F544" s="285"/>
      <c r="G544" s="285" t="s">
        <v>243</v>
      </c>
      <c r="H544" s="285" t="s">
        <v>243</v>
      </c>
      <c r="I544" s="285" t="s">
        <v>243</v>
      </c>
      <c r="J544" s="285" t="s">
        <v>243</v>
      </c>
      <c r="K544" s="285" t="s">
        <v>243</v>
      </c>
      <c r="L544" s="285" t="s">
        <v>244</v>
      </c>
      <c r="M544" s="285" t="s">
        <v>245</v>
      </c>
      <c r="N544" s="285"/>
      <c r="O544" s="285"/>
      <c r="P544" s="285"/>
      <c r="Q544" s="285"/>
      <c r="R544" s="285"/>
      <c r="S544" s="285"/>
      <c r="T544" s="285"/>
      <c r="U544" s="288"/>
      <c r="V544" s="289"/>
      <c r="W544" s="285"/>
      <c r="X544" s="285"/>
      <c r="Y544" s="285"/>
      <c r="Z544" s="285"/>
      <c r="AA544" s="285"/>
      <c r="AB544" s="285"/>
      <c r="AC544" s="285"/>
      <c r="AD544" s="285"/>
      <c r="AE544" s="285"/>
      <c r="AF544" s="285"/>
      <c r="AG544" s="285"/>
      <c r="AH544" s="285"/>
      <c r="AI544" s="285"/>
      <c r="AJ544" s="285"/>
      <c r="AK544" s="285"/>
      <c r="AL544" s="285"/>
      <c r="AM544" s="285"/>
      <c r="AN544" s="285"/>
      <c r="AO544" s="285"/>
      <c r="AP544" s="285"/>
      <c r="AQ544" s="285"/>
      <c r="AR544" s="290"/>
    </row>
    <row r="545" spans="1:44" hidden="1" x14ac:dyDescent="0.2">
      <c r="A545" s="283"/>
      <c r="B545" s="291"/>
      <c r="C545" s="283" t="s">
        <v>232</v>
      </c>
      <c r="D545" s="292" t="s">
        <v>288</v>
      </c>
      <c r="E545" s="311">
        <v>0.96</v>
      </c>
      <c r="F545" s="283"/>
      <c r="G545" s="293"/>
      <c r="H545" s="293"/>
      <c r="I545" s="293"/>
      <c r="J545" s="293"/>
      <c r="K545" s="293"/>
      <c r="L545" s="293"/>
      <c r="M545" s="312">
        <v>0.2725574346449337</v>
      </c>
      <c r="N545" s="312">
        <v>0.29602055973574953</v>
      </c>
      <c r="O545" s="312">
        <v>0.3215053493734939</v>
      </c>
      <c r="P545" s="312">
        <v>0.34918417506138782</v>
      </c>
      <c r="Q545" s="312">
        <v>0.37924592729243245</v>
      </c>
      <c r="R545" s="313">
        <v>0.41189575879285961</v>
      </c>
      <c r="S545" s="313">
        <v>0.44735648460624594</v>
      </c>
      <c r="T545" s="313">
        <v>0.48587010271786285</v>
      </c>
      <c r="U545" s="313">
        <v>0.52769944559727433</v>
      </c>
      <c r="V545" s="313">
        <v>0.57312997393070308</v>
      </c>
      <c r="W545" s="313">
        <v>0.62247172478512514</v>
      </c>
      <c r="X545" s="313">
        <v>0.67606142750004883</v>
      </c>
      <c r="Y545" s="313">
        <v>0.73426480174767716</v>
      </c>
      <c r="Z545" s="313">
        <v>0.7974790534454399</v>
      </c>
      <c r="AA545" s="313">
        <v>0.86613558555524617</v>
      </c>
      <c r="AB545" s="313">
        <v>0.94070294227038953</v>
      </c>
      <c r="AC545" s="313">
        <v>1.0216900066839423</v>
      </c>
      <c r="AD545" s="313">
        <v>1.1096494737624776</v>
      </c>
      <c r="AE545" s="313">
        <v>1.2051816223279397</v>
      </c>
      <c r="AF545" s="313">
        <v>1.3089384117912315</v>
      </c>
      <c r="AG545" s="313">
        <v>1.4216279315975473</v>
      </c>
      <c r="AH545" s="313">
        <v>1.5440192337507468</v>
      </c>
      <c r="AI545" s="313">
        <v>1.6769475813986539</v>
      </c>
      <c r="AJ545" s="313">
        <v>1.8213201493007822</v>
      </c>
      <c r="AK545" s="313">
        <v>1.9781222150841669</v>
      </c>
      <c r="AL545" s="313">
        <v>2.1484238835426615</v>
      </c>
      <c r="AM545" s="313">
        <v>2.333387389873165</v>
      </c>
      <c r="AN545" s="313">
        <v>2.5342750316935505</v>
      </c>
      <c r="AO545" s="313">
        <v>2.7524577839786355</v>
      </c>
      <c r="AP545" s="313">
        <v>2.9894246557115305</v>
      </c>
      <c r="AQ545" s="313">
        <v>3.2467928521100737</v>
      </c>
      <c r="AR545" s="314">
        <v>3.3614983387526856</v>
      </c>
    </row>
    <row r="546" spans="1:44" hidden="1" x14ac:dyDescent="0.2">
      <c r="A546" s="283"/>
      <c r="B546" s="291"/>
      <c r="C546" s="283"/>
      <c r="D546" s="292"/>
      <c r="E546" s="283"/>
      <c r="F546" s="283"/>
      <c r="G546" s="293"/>
      <c r="H546" s="293"/>
      <c r="I546" s="293"/>
      <c r="J546" s="293"/>
      <c r="K546" s="293"/>
      <c r="L546" s="293"/>
      <c r="M546" s="293"/>
      <c r="N546" s="293"/>
      <c r="O546" s="293"/>
      <c r="P546" s="293"/>
      <c r="Q546" s="293"/>
      <c r="R546" s="294"/>
      <c r="S546" s="294"/>
      <c r="T546" s="294"/>
      <c r="U546" s="294"/>
      <c r="V546" s="294"/>
      <c r="W546" s="294"/>
      <c r="X546" s="294"/>
      <c r="Y546" s="294"/>
      <c r="Z546" s="294"/>
      <c r="AA546" s="294"/>
      <c r="AB546" s="294"/>
      <c r="AC546" s="294"/>
      <c r="AD546" s="294"/>
      <c r="AE546" s="294"/>
      <c r="AF546" s="294"/>
      <c r="AG546" s="294"/>
      <c r="AH546" s="294"/>
      <c r="AI546" s="294"/>
      <c r="AJ546" s="294"/>
      <c r="AK546" s="294"/>
      <c r="AL546" s="294"/>
      <c r="AM546" s="294"/>
      <c r="AN546" s="294"/>
      <c r="AO546" s="294"/>
      <c r="AP546" s="294"/>
      <c r="AQ546" s="294"/>
      <c r="AR546" s="295"/>
    </row>
    <row r="547" spans="1:44" hidden="1" x14ac:dyDescent="0.2">
      <c r="A547" s="270"/>
      <c r="B547" s="271"/>
      <c r="C547" s="272" t="s">
        <v>289</v>
      </c>
      <c r="D547" s="272"/>
      <c r="E547" s="272"/>
      <c r="F547" s="272"/>
      <c r="G547" s="272"/>
      <c r="H547" s="272"/>
      <c r="I547" s="272"/>
      <c r="J547" s="272"/>
      <c r="K547" s="272"/>
      <c r="L547" s="272"/>
      <c r="M547" s="272"/>
      <c r="N547" s="272"/>
      <c r="O547" s="272"/>
      <c r="P547" s="272"/>
      <c r="Q547" s="272"/>
      <c r="R547" s="272"/>
      <c r="S547" s="272"/>
      <c r="T547" s="272"/>
      <c r="U547" s="272"/>
      <c r="V547" s="272"/>
      <c r="W547" s="272"/>
      <c r="X547" s="272"/>
      <c r="Y547" s="272"/>
      <c r="Z547" s="272"/>
      <c r="AA547" s="272"/>
      <c r="AB547" s="272"/>
      <c r="AC547" s="272"/>
      <c r="AD547" s="272"/>
      <c r="AE547" s="272"/>
      <c r="AF547" s="272"/>
      <c r="AG547" s="273"/>
      <c r="AH547" s="272"/>
      <c r="AI547" s="274"/>
      <c r="AJ547" s="272"/>
      <c r="AK547" s="272"/>
      <c r="AL547" s="273"/>
      <c r="AM547" s="273"/>
      <c r="AN547" s="273"/>
      <c r="AO547" s="273"/>
      <c r="AP547" s="273"/>
      <c r="AQ547" s="273"/>
      <c r="AR547" s="275"/>
    </row>
    <row r="548" spans="1:44" ht="45" hidden="1" x14ac:dyDescent="0.2">
      <c r="A548" s="276"/>
      <c r="B548" s="277"/>
      <c r="C548" s="278" t="s">
        <v>278</v>
      </c>
      <c r="D548" s="279" t="s">
        <v>279</v>
      </c>
      <c r="E548" s="278"/>
      <c r="F548" s="278"/>
      <c r="G548" s="280">
        <v>2019</v>
      </c>
      <c r="H548" s="280">
        <v>2020</v>
      </c>
      <c r="I548" s="280">
        <v>2021</v>
      </c>
      <c r="J548" s="280">
        <v>2022</v>
      </c>
      <c r="K548" s="280">
        <v>2023</v>
      </c>
      <c r="L548" s="281">
        <v>45352</v>
      </c>
      <c r="M548" s="280">
        <v>2024</v>
      </c>
      <c r="N548" s="278">
        <v>2025</v>
      </c>
      <c r="O548" s="278">
        <v>2026</v>
      </c>
      <c r="P548" s="278">
        <v>2027</v>
      </c>
      <c r="Q548" s="278">
        <v>2028</v>
      </c>
      <c r="R548" s="278">
        <v>2029</v>
      </c>
      <c r="S548" s="278">
        <v>2030</v>
      </c>
      <c r="T548" s="278">
        <v>2031</v>
      </c>
      <c r="U548" s="278">
        <v>2032</v>
      </c>
      <c r="V548" s="278">
        <v>2033</v>
      </c>
      <c r="W548" s="278">
        <v>2034</v>
      </c>
      <c r="X548" s="278">
        <v>2035</v>
      </c>
      <c r="Y548" s="278">
        <v>2036</v>
      </c>
      <c r="Z548" s="278">
        <v>2037</v>
      </c>
      <c r="AA548" s="278">
        <v>2038</v>
      </c>
      <c r="AB548" s="278">
        <v>2039</v>
      </c>
      <c r="AC548" s="278">
        <v>2040</v>
      </c>
      <c r="AD548" s="278">
        <v>2041</v>
      </c>
      <c r="AE548" s="278">
        <v>2042</v>
      </c>
      <c r="AF548" s="278">
        <v>2043</v>
      </c>
      <c r="AG548" s="278">
        <v>2044</v>
      </c>
      <c r="AH548" s="278">
        <v>2045</v>
      </c>
      <c r="AI548" s="278">
        <v>2046</v>
      </c>
      <c r="AJ548" s="278">
        <v>2047</v>
      </c>
      <c r="AK548" s="278">
        <v>2048</v>
      </c>
      <c r="AL548" s="278">
        <v>2049</v>
      </c>
      <c r="AM548" s="278">
        <v>2050</v>
      </c>
      <c r="AN548" s="278">
        <v>2051</v>
      </c>
      <c r="AO548" s="278">
        <v>2052</v>
      </c>
      <c r="AP548" s="278">
        <v>2053</v>
      </c>
      <c r="AQ548" s="278">
        <v>2054</v>
      </c>
      <c r="AR548" s="282">
        <v>2055</v>
      </c>
    </row>
    <row r="549" spans="1:44" hidden="1" x14ac:dyDescent="0.2">
      <c r="A549" s="283"/>
      <c r="B549" s="284"/>
      <c r="C549" s="285"/>
      <c r="D549" s="286"/>
      <c r="E549" s="287"/>
      <c r="F549" s="285"/>
      <c r="G549" s="285" t="s">
        <v>243</v>
      </c>
      <c r="H549" s="285" t="s">
        <v>243</v>
      </c>
      <c r="I549" s="285" t="s">
        <v>243</v>
      </c>
      <c r="J549" s="285" t="s">
        <v>243</v>
      </c>
      <c r="K549" s="285" t="s">
        <v>243</v>
      </c>
      <c r="L549" s="285" t="s">
        <v>244</v>
      </c>
      <c r="M549" s="285" t="s">
        <v>245</v>
      </c>
      <c r="N549" s="285"/>
      <c r="O549" s="285"/>
      <c r="P549" s="285"/>
      <c r="Q549" s="285"/>
      <c r="R549" s="285"/>
      <c r="S549" s="285"/>
      <c r="T549" s="285"/>
      <c r="U549" s="288"/>
      <c r="V549" s="289"/>
      <c r="W549" s="285"/>
      <c r="X549" s="285"/>
      <c r="Y549" s="285"/>
      <c r="Z549" s="285"/>
      <c r="AA549" s="285"/>
      <c r="AB549" s="285"/>
      <c r="AC549" s="285"/>
      <c r="AD549" s="285"/>
      <c r="AE549" s="285"/>
      <c r="AF549" s="285"/>
      <c r="AG549" s="285"/>
      <c r="AH549" s="285"/>
      <c r="AI549" s="285"/>
      <c r="AJ549" s="285"/>
      <c r="AK549" s="285"/>
      <c r="AL549" s="285"/>
      <c r="AM549" s="285"/>
      <c r="AN549" s="285"/>
      <c r="AO549" s="285"/>
      <c r="AP549" s="285"/>
      <c r="AQ549" s="285"/>
      <c r="AR549" s="290"/>
    </row>
    <row r="550" spans="1:44" hidden="1" x14ac:dyDescent="0.2">
      <c r="A550" s="283"/>
      <c r="B550" s="291">
        <v>1</v>
      </c>
      <c r="C550" s="283" t="s">
        <v>220</v>
      </c>
      <c r="D550" s="292" t="s">
        <v>221</v>
      </c>
      <c r="E550" s="283"/>
      <c r="F550" s="283"/>
      <c r="G550" s="312"/>
      <c r="H550" s="312"/>
      <c r="I550" s="312"/>
      <c r="J550" s="312"/>
      <c r="K550" s="312"/>
      <c r="L550" s="312"/>
      <c r="M550" s="312"/>
      <c r="N550" s="312">
        <v>0.13440100512205752</v>
      </c>
      <c r="O550" s="312">
        <v>0.1372298327514167</v>
      </c>
      <c r="P550" s="312">
        <v>0.14011820060333119</v>
      </c>
      <c r="Q550" s="312">
        <v>0.14306736186059132</v>
      </c>
      <c r="R550" s="313">
        <v>0.14607859608256177</v>
      </c>
      <c r="S550" s="313">
        <v>0.11932256780827755</v>
      </c>
      <c r="T550" s="313">
        <v>9.3535783314304941E-2</v>
      </c>
      <c r="U550" s="313">
        <v>6.5174913278605265E-2</v>
      </c>
      <c r="V550" s="313">
        <v>3.4059980873309914E-2</v>
      </c>
      <c r="W550" s="313">
        <v>0</v>
      </c>
      <c r="X550" s="313">
        <v>0</v>
      </c>
      <c r="Y550" s="313">
        <v>0</v>
      </c>
      <c r="Z550" s="313">
        <v>0</v>
      </c>
      <c r="AA550" s="313">
        <v>0</v>
      </c>
      <c r="AB550" s="313">
        <v>0</v>
      </c>
      <c r="AC550" s="313">
        <v>0</v>
      </c>
      <c r="AD550" s="313">
        <v>0</v>
      </c>
      <c r="AE550" s="313">
        <v>0</v>
      </c>
      <c r="AF550" s="313">
        <v>0</v>
      </c>
      <c r="AG550" s="313">
        <v>0</v>
      </c>
      <c r="AH550" s="313">
        <v>0</v>
      </c>
      <c r="AI550" s="313">
        <v>0</v>
      </c>
      <c r="AJ550" s="313">
        <v>0</v>
      </c>
      <c r="AK550" s="313">
        <v>0</v>
      </c>
      <c r="AL550" s="313">
        <v>0</v>
      </c>
      <c r="AM550" s="313">
        <v>0</v>
      </c>
      <c r="AN550" s="313">
        <v>0</v>
      </c>
      <c r="AO550" s="313">
        <v>0</v>
      </c>
      <c r="AP550" s="313">
        <v>0</v>
      </c>
      <c r="AQ550" s="313">
        <v>0</v>
      </c>
      <c r="AR550" s="314">
        <v>0</v>
      </c>
    </row>
    <row r="551" spans="1:44" hidden="1" x14ac:dyDescent="0.2">
      <c r="A551" s="283"/>
      <c r="B551" s="291">
        <v>2</v>
      </c>
      <c r="C551" s="283" t="s">
        <v>222</v>
      </c>
      <c r="D551" s="292" t="s">
        <v>223</v>
      </c>
      <c r="E551" s="283"/>
      <c r="F551" s="283"/>
      <c r="G551" s="312"/>
      <c r="H551" s="312"/>
      <c r="I551" s="312"/>
      <c r="J551" s="312"/>
      <c r="K551" s="312"/>
      <c r="L551" s="312"/>
      <c r="M551" s="312"/>
      <c r="N551" s="312">
        <v>0.55513897668929135</v>
      </c>
      <c r="O551" s="312">
        <v>0.56528647599465121</v>
      </c>
      <c r="P551" s="312">
        <v>0.57563790911827584</v>
      </c>
      <c r="Q551" s="312">
        <v>0.58619751732135583</v>
      </c>
      <c r="R551" s="313">
        <v>0.59696963176229501</v>
      </c>
      <c r="S551" s="313">
        <v>0.60795867542985771</v>
      </c>
      <c r="T551" s="313">
        <v>0.62358856259375872</v>
      </c>
      <c r="U551" s="313">
        <v>0.63973722501699171</v>
      </c>
      <c r="V551" s="313">
        <v>0.65642455795554755</v>
      </c>
      <c r="W551" s="313">
        <v>0.6736712840171486</v>
      </c>
      <c r="X551" s="313">
        <v>0.69149898904876261</v>
      </c>
      <c r="Y551" s="313">
        <v>0.70618987730287752</v>
      </c>
      <c r="Z551" s="313">
        <v>0.71759414285702416</v>
      </c>
      <c r="AA551" s="313">
        <v>0.72920410206435904</v>
      </c>
      <c r="AB551" s="313">
        <v>0.74102372048644083</v>
      </c>
      <c r="AC551" s="313">
        <v>0.75305704402212592</v>
      </c>
      <c r="AD551" s="313">
        <v>0.76503530531991915</v>
      </c>
      <c r="AE551" s="313">
        <v>0.7772286378892459</v>
      </c>
      <c r="AF551" s="313">
        <v>0.78964120521523273</v>
      </c>
      <c r="AG551" s="313">
        <v>0.80227725583475351</v>
      </c>
      <c r="AH551" s="313">
        <v>0.81514112514501613</v>
      </c>
      <c r="AI551" s="313">
        <v>0.82823723725180542</v>
      </c>
      <c r="AJ551" s="313">
        <v>0.84157010685827094</v>
      </c>
      <c r="AK551" s="313">
        <v>0.85514434119517024</v>
      </c>
      <c r="AL551" s="313">
        <v>0.86896464199349988</v>
      </c>
      <c r="AM551" s="313">
        <v>0.88303580750046673</v>
      </c>
      <c r="AN551" s="313">
        <v>0.89736273453977433</v>
      </c>
      <c r="AO551" s="313">
        <v>0.91195042061722265</v>
      </c>
      <c r="AP551" s="313">
        <v>0.92680396607263893</v>
      </c>
      <c r="AQ551" s="313">
        <v>0.94192857627918514</v>
      </c>
      <c r="AR551" s="314">
        <v>0.95732956389110935</v>
      </c>
    </row>
    <row r="552" spans="1:44" hidden="1" x14ac:dyDescent="0.2">
      <c r="A552" s="283"/>
      <c r="B552" s="291">
        <v>3</v>
      </c>
      <c r="C552" s="283" t="s">
        <v>224</v>
      </c>
      <c r="D552" s="292" t="s">
        <v>225</v>
      </c>
      <c r="E552" s="283"/>
      <c r="F552" s="283"/>
      <c r="G552" s="312"/>
      <c r="H552" s="312"/>
      <c r="I552" s="312"/>
      <c r="J552" s="312"/>
      <c r="K552" s="312"/>
      <c r="L552" s="312"/>
      <c r="M552" s="312"/>
      <c r="N552" s="312">
        <v>0</v>
      </c>
      <c r="O552" s="312">
        <v>0</v>
      </c>
      <c r="P552" s="312">
        <v>0</v>
      </c>
      <c r="Q552" s="312">
        <v>0</v>
      </c>
      <c r="R552" s="313">
        <v>0</v>
      </c>
      <c r="S552" s="313">
        <v>0</v>
      </c>
      <c r="T552" s="313">
        <v>0</v>
      </c>
      <c r="U552" s="313">
        <v>0</v>
      </c>
      <c r="V552" s="313">
        <v>0</v>
      </c>
      <c r="W552" s="313">
        <v>0</v>
      </c>
      <c r="X552" s="313">
        <v>0</v>
      </c>
      <c r="Y552" s="313">
        <v>0</v>
      </c>
      <c r="Z552" s="313">
        <v>0</v>
      </c>
      <c r="AA552" s="313">
        <v>0</v>
      </c>
      <c r="AB552" s="313">
        <v>0</v>
      </c>
      <c r="AC552" s="313">
        <v>0</v>
      </c>
      <c r="AD552" s="313">
        <v>0</v>
      </c>
      <c r="AE552" s="313">
        <v>0</v>
      </c>
      <c r="AF552" s="313">
        <v>0</v>
      </c>
      <c r="AG552" s="313">
        <v>0</v>
      </c>
      <c r="AH552" s="313">
        <v>0</v>
      </c>
      <c r="AI552" s="313">
        <v>0</v>
      </c>
      <c r="AJ552" s="313">
        <v>0</v>
      </c>
      <c r="AK552" s="313">
        <v>0</v>
      </c>
      <c r="AL552" s="313">
        <v>0</v>
      </c>
      <c r="AM552" s="313">
        <v>0</v>
      </c>
      <c r="AN552" s="313">
        <v>0</v>
      </c>
      <c r="AO552" s="313">
        <v>0</v>
      </c>
      <c r="AP552" s="313">
        <v>0</v>
      </c>
      <c r="AQ552" s="313">
        <v>0</v>
      </c>
      <c r="AR552" s="314">
        <v>0</v>
      </c>
    </row>
    <row r="553" spans="1:44" hidden="1" x14ac:dyDescent="0.2">
      <c r="A553" s="283"/>
      <c r="B553" s="291">
        <v>4</v>
      </c>
      <c r="C553" s="283" t="s">
        <v>226</v>
      </c>
      <c r="D553" s="292" t="s">
        <v>227</v>
      </c>
      <c r="E553" s="283"/>
      <c r="F553" s="283"/>
      <c r="G553" s="312"/>
      <c r="H553" s="312"/>
      <c r="I553" s="312"/>
      <c r="J553" s="312"/>
      <c r="K553" s="312"/>
      <c r="L553" s="312"/>
      <c r="M553" s="312"/>
      <c r="N553" s="312">
        <v>3.4484339019588344</v>
      </c>
      <c r="O553" s="312">
        <v>3.4893524628443293</v>
      </c>
      <c r="P553" s="312">
        <v>3.5310886406955007</v>
      </c>
      <c r="Q553" s="312">
        <v>3.573662449384587</v>
      </c>
      <c r="R553" s="313">
        <v>3.3784772638590503</v>
      </c>
      <c r="S553" s="313">
        <v>3.199777145503178</v>
      </c>
      <c r="T553" s="313">
        <v>2.9917891446906117</v>
      </c>
      <c r="U553" s="313">
        <v>2.7515852725196188</v>
      </c>
      <c r="V553" s="313">
        <v>2.6297399167033086</v>
      </c>
      <c r="W553" s="313">
        <v>2.4890148203904658</v>
      </c>
      <c r="X553" s="313">
        <v>2.5022267364598272</v>
      </c>
      <c r="Y553" s="313">
        <v>2.5154028748759538</v>
      </c>
      <c r="Z553" s="313">
        <v>2.5286537569284713</v>
      </c>
      <c r="AA553" s="313">
        <v>2.5419798744577027</v>
      </c>
      <c r="AB553" s="313">
        <v>2.5553817233374589</v>
      </c>
      <c r="AC553" s="313">
        <v>2.5688598035161929</v>
      </c>
      <c r="AD553" s="313">
        <v>2.5823206241828953</v>
      </c>
      <c r="AE553" s="313">
        <v>2.5958562865279693</v>
      </c>
      <c r="AF553" s="313">
        <v>2.6094672569139696</v>
      </c>
      <c r="AG553" s="313">
        <v>2.6231540051619406</v>
      </c>
      <c r="AH553" s="313">
        <v>2.6369170045824779</v>
      </c>
      <c r="AI553" s="313">
        <v>2.6507567320071246</v>
      </c>
      <c r="AJ553" s="313">
        <v>2.6646736678200851</v>
      </c>
      <c r="AK553" s="313">
        <v>2.6786682959902768</v>
      </c>
      <c r="AL553" s="313">
        <v>2.6927411041037135</v>
      </c>
      <c r="AM553" s="313">
        <v>2.7068925833962312</v>
      </c>
      <c r="AN553" s="313">
        <v>2.7211232287865466</v>
      </c>
      <c r="AO553" s="313">
        <v>2.7354335389096796</v>
      </c>
      <c r="AP553" s="313">
        <v>2.7498240161507046</v>
      </c>
      <c r="AQ553" s="313">
        <v>2.7642951666788793</v>
      </c>
      <c r="AR553" s="314">
        <v>2.7788475004821089</v>
      </c>
    </row>
    <row r="554" spans="1:44" hidden="1" x14ac:dyDescent="0.2">
      <c r="A554" s="283"/>
      <c r="B554" s="291">
        <v>5</v>
      </c>
      <c r="C554" s="283" t="s">
        <v>228</v>
      </c>
      <c r="D554" s="292" t="s">
        <v>221</v>
      </c>
      <c r="E554" s="283"/>
      <c r="F554" s="283"/>
      <c r="G554" s="312"/>
      <c r="H554" s="312"/>
      <c r="I554" s="312"/>
      <c r="J554" s="312"/>
      <c r="K554" s="312"/>
      <c r="L554" s="312"/>
      <c r="M554" s="312"/>
      <c r="N554" s="312">
        <v>1.7302933847657074</v>
      </c>
      <c r="O554" s="312">
        <v>1.7389448516895356</v>
      </c>
      <c r="P554" s="312">
        <v>1.747639575947983</v>
      </c>
      <c r="Q554" s="312">
        <v>1.7563777738277226</v>
      </c>
      <c r="R554" s="313">
        <v>1.7651596626968615</v>
      </c>
      <c r="S554" s="313">
        <v>1.419188368808276</v>
      </c>
      <c r="T554" s="313">
        <v>0.8557705863913907</v>
      </c>
      <c r="U554" s="313">
        <v>0.34401977572933906</v>
      </c>
      <c r="V554" s="313">
        <v>6.9147974921597119E-2</v>
      </c>
      <c r="W554" s="313">
        <v>0</v>
      </c>
      <c r="X554" s="313">
        <v>0</v>
      </c>
      <c r="Y554" s="313">
        <v>0</v>
      </c>
      <c r="Z554" s="313">
        <v>0</v>
      </c>
      <c r="AA554" s="313">
        <v>0</v>
      </c>
      <c r="AB554" s="313">
        <v>0</v>
      </c>
      <c r="AC554" s="313">
        <v>0</v>
      </c>
      <c r="AD554" s="313">
        <v>0</v>
      </c>
      <c r="AE554" s="313">
        <v>0</v>
      </c>
      <c r="AF554" s="313">
        <v>0</v>
      </c>
      <c r="AG554" s="313">
        <v>0</v>
      </c>
      <c r="AH554" s="313">
        <v>0</v>
      </c>
      <c r="AI554" s="313">
        <v>0</v>
      </c>
      <c r="AJ554" s="313">
        <v>0</v>
      </c>
      <c r="AK554" s="313">
        <v>0</v>
      </c>
      <c r="AL554" s="313">
        <v>0</v>
      </c>
      <c r="AM554" s="313">
        <v>0</v>
      </c>
      <c r="AN554" s="313">
        <v>0</v>
      </c>
      <c r="AO554" s="313">
        <v>0</v>
      </c>
      <c r="AP554" s="313">
        <v>0</v>
      </c>
      <c r="AQ554" s="313">
        <v>0</v>
      </c>
      <c r="AR554" s="314">
        <v>0</v>
      </c>
    </row>
    <row r="555" spans="1:44" hidden="1" x14ac:dyDescent="0.2">
      <c r="A555" s="283"/>
      <c r="B555" s="291">
        <v>6</v>
      </c>
      <c r="C555" s="283" t="s">
        <v>229</v>
      </c>
      <c r="D555" s="292" t="s">
        <v>230</v>
      </c>
      <c r="E555" s="283"/>
      <c r="F555" s="283"/>
      <c r="G555" s="312"/>
      <c r="H555" s="312"/>
      <c r="I555" s="312"/>
      <c r="J555" s="312"/>
      <c r="K555" s="312"/>
      <c r="L555" s="312"/>
      <c r="M555" s="312"/>
      <c r="N555" s="312">
        <v>5.8027599320987644</v>
      </c>
      <c r="O555" s="312">
        <v>5.9300782444753075</v>
      </c>
      <c r="P555" s="312">
        <v>6.0445042513766971</v>
      </c>
      <c r="Q555" s="312">
        <v>6.1594983538681483</v>
      </c>
      <c r="R555" s="313">
        <v>6.2745086324276125</v>
      </c>
      <c r="S555" s="313">
        <v>6.3900871679354294</v>
      </c>
      <c r="T555" s="313">
        <v>6.5056820416763417</v>
      </c>
      <c r="U555" s="313">
        <v>6.6437979773168214</v>
      </c>
      <c r="V555" s="313">
        <v>6.7706780939935278</v>
      </c>
      <c r="W555" s="313">
        <v>6.8975747952042372</v>
      </c>
      <c r="X555" s="313">
        <v>7.0244881638716166</v>
      </c>
      <c r="Y555" s="313">
        <v>7.1755789253082574</v>
      </c>
      <c r="Z555" s="313">
        <v>7.3025258793175158</v>
      </c>
      <c r="AA555" s="313">
        <v>7.4525463940227459</v>
      </c>
      <c r="AB555" s="313">
        <v>7.5913315910545869</v>
      </c>
      <c r="AC555" s="313">
        <v>7.7537425183925759</v>
      </c>
      <c r="AD555" s="313">
        <v>7.9161706195030561</v>
      </c>
      <c r="AE555" s="313">
        <v>8.0651556592672389</v>
      </c>
      <c r="AF555" s="313">
        <v>8.2287223659586353</v>
      </c>
      <c r="AG555" s="313">
        <v>8.3675938633439859</v>
      </c>
      <c r="AH555" s="313">
        <v>8.5649524855002124</v>
      </c>
      <c r="AI555" s="313">
        <v>8.7398240731128976</v>
      </c>
      <c r="AJ555" s="313">
        <v>8.9141613561945086</v>
      </c>
      <c r="AK555" s="313">
        <v>9.0997687442100528</v>
      </c>
      <c r="AL555" s="313">
        <v>9.2864980050915964</v>
      </c>
      <c r="AM555" s="313">
        <v>9.4726932282034735</v>
      </c>
      <c r="AN555" s="313">
        <v>9.6825151453321414</v>
      </c>
      <c r="AO555" s="313">
        <v>9.8822068837748542</v>
      </c>
      <c r="AP555" s="313">
        <v>10.080260855230765</v>
      </c>
      <c r="AQ555" s="313">
        <v>10.302396648161569</v>
      </c>
      <c r="AR555" s="314">
        <v>10.513356554859167</v>
      </c>
    </row>
    <row r="556" spans="1:44" hidden="1" x14ac:dyDescent="0.2">
      <c r="A556" s="283"/>
      <c r="B556" s="291">
        <v>7</v>
      </c>
      <c r="C556" s="283" t="s">
        <v>231</v>
      </c>
      <c r="D556" s="292" t="s">
        <v>225</v>
      </c>
      <c r="E556" s="283"/>
      <c r="F556" s="283"/>
      <c r="G556" s="312"/>
      <c r="H556" s="312"/>
      <c r="I556" s="312"/>
      <c r="J556" s="312"/>
      <c r="K556" s="312"/>
      <c r="L556" s="312"/>
      <c r="M556" s="312"/>
      <c r="N556" s="312">
        <v>0</v>
      </c>
      <c r="O556" s="312">
        <v>0</v>
      </c>
      <c r="P556" s="312">
        <v>0</v>
      </c>
      <c r="Q556" s="312">
        <v>0</v>
      </c>
      <c r="R556" s="313">
        <v>0</v>
      </c>
      <c r="S556" s="313">
        <v>0</v>
      </c>
      <c r="T556" s="313">
        <v>0</v>
      </c>
      <c r="U556" s="313">
        <v>0</v>
      </c>
      <c r="V556" s="313">
        <v>0</v>
      </c>
      <c r="W556" s="313">
        <v>0</v>
      </c>
      <c r="X556" s="313">
        <v>0</v>
      </c>
      <c r="Y556" s="313">
        <v>0</v>
      </c>
      <c r="Z556" s="313">
        <v>0</v>
      </c>
      <c r="AA556" s="313">
        <v>0</v>
      </c>
      <c r="AB556" s="313">
        <v>0</v>
      </c>
      <c r="AC556" s="313">
        <v>0</v>
      </c>
      <c r="AD556" s="313">
        <v>0</v>
      </c>
      <c r="AE556" s="313">
        <v>0</v>
      </c>
      <c r="AF556" s="313">
        <v>0</v>
      </c>
      <c r="AG556" s="313">
        <v>0</v>
      </c>
      <c r="AH556" s="313">
        <v>0</v>
      </c>
      <c r="AI556" s="313">
        <v>0</v>
      </c>
      <c r="AJ556" s="313">
        <v>0</v>
      </c>
      <c r="AK556" s="313">
        <v>0</v>
      </c>
      <c r="AL556" s="313">
        <v>0</v>
      </c>
      <c r="AM556" s="313">
        <v>0</v>
      </c>
      <c r="AN556" s="313">
        <v>0</v>
      </c>
      <c r="AO556" s="313">
        <v>0</v>
      </c>
      <c r="AP556" s="313">
        <v>0</v>
      </c>
      <c r="AQ556" s="313">
        <v>0</v>
      </c>
      <c r="AR556" s="314">
        <v>0</v>
      </c>
    </row>
    <row r="557" spans="1:44" hidden="1" x14ac:dyDescent="0.2">
      <c r="A557" s="283"/>
      <c r="B557" s="291">
        <v>8</v>
      </c>
      <c r="C557" s="283" t="s">
        <v>232</v>
      </c>
      <c r="D557" s="292" t="s">
        <v>233</v>
      </c>
      <c r="E557" s="283"/>
      <c r="F557" s="283"/>
      <c r="G557" s="312"/>
      <c r="H557" s="312"/>
      <c r="I557" s="312"/>
      <c r="J557" s="312"/>
      <c r="K557" s="312"/>
      <c r="L557" s="312"/>
      <c r="M557" s="312"/>
      <c r="N557" s="312">
        <v>18.472678988579336</v>
      </c>
      <c r="O557" s="312">
        <v>18.73163911920614</v>
      </c>
      <c r="P557" s="312">
        <v>18.996619674246091</v>
      </c>
      <c r="Q557" s="312">
        <v>19.267874768803484</v>
      </c>
      <c r="R557" s="313">
        <v>19.541342858683759</v>
      </c>
      <c r="S557" s="313">
        <v>19.825911324725308</v>
      </c>
      <c r="T557" s="313">
        <v>20.099315468159006</v>
      </c>
      <c r="U557" s="313">
        <v>20.379636258052468</v>
      </c>
      <c r="V557" s="313">
        <v>20.667217462126548</v>
      </c>
      <c r="W557" s="313">
        <v>20.962428441673865</v>
      </c>
      <c r="X557" s="313">
        <v>21.265666287174195</v>
      </c>
      <c r="Y557" s="313">
        <v>21.554540471022165</v>
      </c>
      <c r="Z557" s="313">
        <v>21.851687819642031</v>
      </c>
      <c r="AA557" s="313">
        <v>22.157589833130491</v>
      </c>
      <c r="AB557" s="313">
        <v>22.472766020027315</v>
      </c>
      <c r="AC557" s="313">
        <v>23.722779427621823</v>
      </c>
      <c r="AD557" s="313">
        <v>24.050584036760345</v>
      </c>
      <c r="AE557" s="313">
        <v>24.389136822799856</v>
      </c>
      <c r="AF557" s="313">
        <v>24.739136759183499</v>
      </c>
      <c r="AG557" s="313">
        <v>25.101339770792329</v>
      </c>
      <c r="AH557" s="313">
        <v>25.476563583911346</v>
      </c>
      <c r="AI557" s="313">
        <v>25.865692992691823</v>
      </c>
      <c r="AJ557" s="313">
        <v>26.269685577942987</v>
      </c>
      <c r="AK557" s="313">
        <v>26.689577917171622</v>
      </c>
      <c r="AL557" s="313">
        <v>27.126492328137154</v>
      </c>
      <c r="AM557" s="313">
        <v>27.581644191829028</v>
      </c>
      <c r="AN557" s="313">
        <v>28.056349904724385</v>
      </c>
      <c r="AO557" s="313">
        <v>28.552035514476415</v>
      </c>
      <c r="AP557" s="313">
        <v>29.070246097844635</v>
      </c>
      <c r="AQ557" s="313">
        <v>29.612655944741785</v>
      </c>
      <c r="AR557" s="314">
        <v>30.016259144736427</v>
      </c>
    </row>
    <row r="558" spans="1:44" ht="17" hidden="1" thickBot="1" x14ac:dyDescent="0.25">
      <c r="B558" s="305"/>
      <c r="C558" s="306" t="s">
        <v>84</v>
      </c>
      <c r="D558" s="307"/>
      <c r="E558" s="306"/>
      <c r="F558" s="306"/>
      <c r="G558" s="318">
        <v>0</v>
      </c>
      <c r="H558" s="318">
        <v>0</v>
      </c>
      <c r="I558" s="318">
        <v>0</v>
      </c>
      <c r="J558" s="318">
        <v>0</v>
      </c>
      <c r="K558" s="318">
        <v>0</v>
      </c>
      <c r="L558" s="318">
        <v>0</v>
      </c>
      <c r="M558" s="318">
        <v>0</v>
      </c>
      <c r="N558" s="319">
        <v>30.14370618921399</v>
      </c>
      <c r="O558" s="319">
        <v>30.592530986961378</v>
      </c>
      <c r="P558" s="319">
        <v>31.035608251987878</v>
      </c>
      <c r="Q558" s="319">
        <v>31.486678225065887</v>
      </c>
      <c r="R558" s="319">
        <v>31.70253664551214</v>
      </c>
      <c r="S558" s="319">
        <v>31.562245250210328</v>
      </c>
      <c r="T558" s="319">
        <v>31.169681586825412</v>
      </c>
      <c r="U558" s="319">
        <v>30.823951421913844</v>
      </c>
      <c r="V558" s="319">
        <v>30.827267986573837</v>
      </c>
      <c r="W558" s="319">
        <v>31.022689341285716</v>
      </c>
      <c r="X558" s="319">
        <v>31.483880176554401</v>
      </c>
      <c r="Y558" s="319">
        <v>31.951712148509252</v>
      </c>
      <c r="Z558" s="319">
        <v>32.400461598745039</v>
      </c>
      <c r="AA558" s="319">
        <v>32.881320203675301</v>
      </c>
      <c r="AB558" s="319">
        <v>33.360503054905806</v>
      </c>
      <c r="AC558" s="319">
        <v>34.79843879355272</v>
      </c>
      <c r="AD558" s="319">
        <v>35.314110585766215</v>
      </c>
      <c r="AE558" s="319">
        <v>35.82737740648431</v>
      </c>
      <c r="AF558" s="319">
        <v>36.366967587271333</v>
      </c>
      <c r="AG558" s="319">
        <v>36.894364895133009</v>
      </c>
      <c r="AH558" s="319">
        <v>37.493574199139054</v>
      </c>
      <c r="AI558" s="319">
        <v>38.084511035063649</v>
      </c>
      <c r="AJ558" s="319">
        <v>38.690090708815852</v>
      </c>
      <c r="AK558" s="319">
        <v>39.32315929856712</v>
      </c>
      <c r="AL558" s="319">
        <v>39.974696079325966</v>
      </c>
      <c r="AM558" s="319">
        <v>40.644265810929198</v>
      </c>
      <c r="AN558" s="319">
        <v>41.357351013382846</v>
      </c>
      <c r="AO558" s="319">
        <v>42.08162635777817</v>
      </c>
      <c r="AP558" s="319">
        <v>42.827134935298744</v>
      </c>
      <c r="AQ558" s="319">
        <v>43.621276335861417</v>
      </c>
      <c r="AR558" s="320">
        <v>44.265792763968811</v>
      </c>
    </row>
    <row r="559" spans="1:44" ht="17" thickBot="1" x14ac:dyDescent="0.25">
      <c r="B559" s="154"/>
      <c r="D559" s="155"/>
      <c r="G559" s="154"/>
      <c r="H559" s="154"/>
      <c r="I559" s="154"/>
      <c r="J559" s="154"/>
      <c r="K559" s="154"/>
      <c r="L559" s="206"/>
      <c r="W559" s="172"/>
    </row>
    <row r="560" spans="1:44" x14ac:dyDescent="0.2">
      <c r="A560" s="321" t="s">
        <v>294</v>
      </c>
      <c r="B560" s="322"/>
      <c r="C560" s="323" t="s">
        <v>295</v>
      </c>
      <c r="D560" s="324"/>
      <c r="E560" s="323"/>
      <c r="F560" s="323"/>
      <c r="G560" s="325"/>
      <c r="H560" s="325"/>
      <c r="I560" s="325"/>
      <c r="J560" s="325"/>
      <c r="K560" s="325"/>
      <c r="L560" s="325"/>
      <c r="M560" s="323"/>
      <c r="N560" s="323"/>
      <c r="O560" s="323"/>
      <c r="P560" s="323"/>
      <c r="Q560" s="323"/>
      <c r="R560" s="323"/>
      <c r="S560" s="323"/>
      <c r="T560" s="323"/>
      <c r="U560" s="323"/>
      <c r="V560" s="323"/>
      <c r="W560" s="323"/>
      <c r="X560" s="323"/>
      <c r="Y560" s="323"/>
      <c r="Z560" s="323"/>
      <c r="AA560" s="323"/>
      <c r="AB560" s="323"/>
      <c r="AC560" s="323"/>
      <c r="AD560" s="323"/>
      <c r="AE560" s="323"/>
      <c r="AF560" s="323"/>
      <c r="AG560" s="323"/>
      <c r="AH560" s="323"/>
      <c r="AI560" s="323"/>
      <c r="AJ560" s="323"/>
      <c r="AK560" s="323"/>
      <c r="AL560" s="323"/>
      <c r="AM560" s="323"/>
      <c r="AN560" s="323"/>
      <c r="AO560" s="323"/>
      <c r="AP560" s="323"/>
      <c r="AQ560" s="323"/>
      <c r="AR560" s="326"/>
    </row>
    <row r="561" spans="1:44" ht="45" x14ac:dyDescent="0.2">
      <c r="A561" s="276"/>
      <c r="B561" s="277"/>
      <c r="C561" s="278" t="s">
        <v>253</v>
      </c>
      <c r="D561" s="279" t="s">
        <v>279</v>
      </c>
      <c r="E561" s="278"/>
      <c r="F561" s="278"/>
      <c r="G561" s="280">
        <v>2019</v>
      </c>
      <c r="H561" s="280">
        <v>2020</v>
      </c>
      <c r="I561" s="280">
        <v>2021</v>
      </c>
      <c r="J561" s="280">
        <v>2022</v>
      </c>
      <c r="K561" s="280">
        <v>2023</v>
      </c>
      <c r="L561" s="281">
        <v>45352</v>
      </c>
      <c r="M561" s="280">
        <v>2024</v>
      </c>
      <c r="N561" s="278">
        <v>2025</v>
      </c>
      <c r="O561" s="278">
        <v>2026</v>
      </c>
      <c r="P561" s="278">
        <v>2027</v>
      </c>
      <c r="Q561" s="278">
        <v>2028</v>
      </c>
      <c r="R561" s="278">
        <v>2029</v>
      </c>
      <c r="S561" s="278">
        <v>2030</v>
      </c>
      <c r="T561" s="278">
        <v>2031</v>
      </c>
      <c r="U561" s="278">
        <v>2032</v>
      </c>
      <c r="V561" s="278">
        <v>2033</v>
      </c>
      <c r="W561" s="278">
        <v>2034</v>
      </c>
      <c r="X561" s="278">
        <v>2035</v>
      </c>
      <c r="Y561" s="278">
        <v>2036</v>
      </c>
      <c r="Z561" s="278">
        <v>2037</v>
      </c>
      <c r="AA561" s="278">
        <v>2038</v>
      </c>
      <c r="AB561" s="278">
        <v>2039</v>
      </c>
      <c r="AC561" s="278">
        <v>2040</v>
      </c>
      <c r="AD561" s="278">
        <v>2041</v>
      </c>
      <c r="AE561" s="278">
        <v>2042</v>
      </c>
      <c r="AF561" s="278">
        <v>2043</v>
      </c>
      <c r="AG561" s="278">
        <v>2044</v>
      </c>
      <c r="AH561" s="278">
        <v>2045</v>
      </c>
      <c r="AI561" s="278">
        <v>2046</v>
      </c>
      <c r="AJ561" s="278">
        <v>2047</v>
      </c>
      <c r="AK561" s="278">
        <v>2048</v>
      </c>
      <c r="AL561" s="278">
        <v>2049</v>
      </c>
      <c r="AM561" s="278">
        <v>2050</v>
      </c>
      <c r="AN561" s="278">
        <v>2051</v>
      </c>
      <c r="AO561" s="278">
        <v>2052</v>
      </c>
      <c r="AP561" s="278">
        <v>2053</v>
      </c>
      <c r="AQ561" s="278">
        <v>2054</v>
      </c>
      <c r="AR561" s="282">
        <v>2055</v>
      </c>
    </row>
    <row r="562" spans="1:44" x14ac:dyDescent="0.2">
      <c r="A562" s="283"/>
      <c r="B562" s="284"/>
      <c r="C562" s="285"/>
      <c r="D562" s="286"/>
      <c r="E562" s="287"/>
      <c r="F562" s="285"/>
      <c r="G562" s="285" t="s">
        <v>243</v>
      </c>
      <c r="H562" s="285" t="s">
        <v>243</v>
      </c>
      <c r="I562" s="285" t="s">
        <v>243</v>
      </c>
      <c r="J562" s="285" t="s">
        <v>243</v>
      </c>
      <c r="K562" s="285" t="s">
        <v>243</v>
      </c>
      <c r="L562" s="285" t="s">
        <v>244</v>
      </c>
      <c r="M562" s="285" t="s">
        <v>245</v>
      </c>
      <c r="N562" s="285"/>
      <c r="O562" s="285"/>
      <c r="P562" s="285"/>
      <c r="Q562" s="285"/>
      <c r="R562" s="285"/>
      <c r="S562" s="285"/>
      <c r="T562" s="285"/>
      <c r="U562" s="288"/>
      <c r="V562" s="289"/>
      <c r="W562" s="285"/>
      <c r="X562" s="285"/>
      <c r="Y562" s="285"/>
      <c r="Z562" s="285"/>
      <c r="AA562" s="285"/>
      <c r="AB562" s="285"/>
      <c r="AC562" s="285"/>
      <c r="AD562" s="285"/>
      <c r="AE562" s="285"/>
      <c r="AF562" s="285"/>
      <c r="AG562" s="285"/>
      <c r="AH562" s="285"/>
      <c r="AI562" s="285"/>
      <c r="AJ562" s="285"/>
      <c r="AK562" s="285"/>
      <c r="AL562" s="285"/>
      <c r="AM562" s="285"/>
      <c r="AN562" s="285"/>
      <c r="AO562" s="285"/>
      <c r="AP562" s="285"/>
      <c r="AQ562" s="285"/>
      <c r="AR562" s="290"/>
    </row>
    <row r="563" spans="1:44" x14ac:dyDescent="0.2">
      <c r="A563" s="283"/>
      <c r="B563" s="291">
        <v>1</v>
      </c>
      <c r="C563" s="283" t="s">
        <v>220</v>
      </c>
      <c r="D563" s="292" t="s">
        <v>221</v>
      </c>
      <c r="E563" s="283"/>
      <c r="F563" s="283"/>
      <c r="G563" s="312">
        <v>0</v>
      </c>
      <c r="H563" s="312">
        <v>0</v>
      </c>
      <c r="I563" s="312">
        <v>0</v>
      </c>
      <c r="J563" s="312">
        <v>0</v>
      </c>
      <c r="K563" s="312">
        <v>0</v>
      </c>
      <c r="L563" s="312">
        <v>0</v>
      </c>
      <c r="M563" s="312">
        <v>0</v>
      </c>
      <c r="N563" s="313">
        <v>0.18410906646753919</v>
      </c>
      <c r="O563" s="313">
        <v>0.18798413283007062</v>
      </c>
      <c r="P563" s="313">
        <v>0.19194076029984208</v>
      </c>
      <c r="Q563" s="313">
        <v>0.19139301774744019</v>
      </c>
      <c r="R563" s="313">
        <v>0.1909514732231393</v>
      </c>
      <c r="S563" s="313">
        <v>0.15248853762923462</v>
      </c>
      <c r="T563" s="313">
        <v>0.11691972914288117</v>
      </c>
      <c r="U563" s="313">
        <v>8.1468641598256564E-2</v>
      </c>
      <c r="V563" s="313">
        <v>4.2574976091637379E-2</v>
      </c>
      <c r="W563" s="313">
        <v>0</v>
      </c>
      <c r="X563" s="313">
        <v>0</v>
      </c>
      <c r="Y563" s="313">
        <v>0</v>
      </c>
      <c r="Z563" s="313">
        <v>0</v>
      </c>
      <c r="AA563" s="313">
        <v>0</v>
      </c>
      <c r="AB563" s="313">
        <v>0</v>
      </c>
      <c r="AC563" s="313">
        <v>0</v>
      </c>
      <c r="AD563" s="313">
        <v>0</v>
      </c>
      <c r="AE563" s="313">
        <v>0</v>
      </c>
      <c r="AF563" s="313">
        <v>0</v>
      </c>
      <c r="AG563" s="313">
        <v>0</v>
      </c>
      <c r="AH563" s="313">
        <v>0</v>
      </c>
      <c r="AI563" s="313">
        <v>0</v>
      </c>
      <c r="AJ563" s="313">
        <v>0</v>
      </c>
      <c r="AK563" s="313">
        <v>0</v>
      </c>
      <c r="AL563" s="313">
        <v>0</v>
      </c>
      <c r="AM563" s="313">
        <v>0</v>
      </c>
      <c r="AN563" s="313">
        <v>0</v>
      </c>
      <c r="AO563" s="313">
        <v>0</v>
      </c>
      <c r="AP563" s="313">
        <v>0</v>
      </c>
      <c r="AQ563" s="313">
        <v>0</v>
      </c>
      <c r="AR563" s="314">
        <v>0</v>
      </c>
    </row>
    <row r="564" spans="1:44" x14ac:dyDescent="0.2">
      <c r="A564" s="283"/>
      <c r="B564" s="291">
        <v>2</v>
      </c>
      <c r="C564" s="283" t="s">
        <v>222</v>
      </c>
      <c r="D564" s="292" t="s">
        <v>223</v>
      </c>
      <c r="E564" s="283"/>
      <c r="F564" s="283"/>
      <c r="G564" s="178">
        <v>0</v>
      </c>
      <c r="H564" s="312">
        <v>0</v>
      </c>
      <c r="I564" s="312">
        <v>0</v>
      </c>
      <c r="J564" s="312">
        <v>0</v>
      </c>
      <c r="K564" s="312">
        <v>0</v>
      </c>
      <c r="L564" s="312">
        <v>0</v>
      </c>
      <c r="M564" s="312">
        <v>0</v>
      </c>
      <c r="N564" s="313">
        <v>0.97814729895030539</v>
      </c>
      <c r="O564" s="313">
        <v>0.99693833654471598</v>
      </c>
      <c r="P564" s="313">
        <v>1.016113603447504</v>
      </c>
      <c r="Q564" s="313">
        <v>0.88183195378657397</v>
      </c>
      <c r="R564" s="313">
        <v>0.80959720718029304</v>
      </c>
      <c r="S564" s="313">
        <v>0.76633121449752362</v>
      </c>
      <c r="T564" s="313">
        <v>0.74449349647828444</v>
      </c>
      <c r="U564" s="313">
        <v>0.76407198739959714</v>
      </c>
      <c r="V564" s="313">
        <v>0.78431183842606522</v>
      </c>
      <c r="W564" s="313">
        <v>0.80523870448452106</v>
      </c>
      <c r="X564" s="313">
        <v>0.8268793142514248</v>
      </c>
      <c r="Y564" s="313">
        <v>0.84458616399510555</v>
      </c>
      <c r="Z564" s="313">
        <v>0.85817173173199168</v>
      </c>
      <c r="AA564" s="313">
        <v>0.87200114266903705</v>
      </c>
      <c r="AB564" s="313">
        <v>0.88607907774620653</v>
      </c>
      <c r="AC564" s="313">
        <v>0.90041031242135494</v>
      </c>
      <c r="AD564" s="313">
        <v>0.91465859955662354</v>
      </c>
      <c r="AE564" s="313">
        <v>0.92916131192560569</v>
      </c>
      <c r="AF564" s="313">
        <v>0.9439233534719651</v>
      </c>
      <c r="AG564" s="313">
        <v>0.95894972801662925</v>
      </c>
      <c r="AH564" s="313">
        <v>0.97424554137758135</v>
      </c>
      <c r="AI564" s="313">
        <v>0.98981600353608568</v>
      </c>
      <c r="AJ564" s="313">
        <v>1.005666430850372</v>
      </c>
      <c r="AK564" s="313">
        <v>1.0218022483178579</v>
      </c>
      <c r="AL564" s="313">
        <v>1.0382289918869916</v>
      </c>
      <c r="AM564" s="313">
        <v>1.0549523108198295</v>
      </c>
      <c r="AN564" s="313">
        <v>1.0719779701064951</v>
      </c>
      <c r="AO564" s="313">
        <v>1.0893118529326806</v>
      </c>
      <c r="AP564" s="313">
        <v>1.106959963201386</v>
      </c>
      <c r="AQ564" s="313">
        <v>1.1249284281101151</v>
      </c>
      <c r="AR564" s="314">
        <v>1.1432235007847822</v>
      </c>
    </row>
    <row r="565" spans="1:44" x14ac:dyDescent="0.2">
      <c r="A565" s="283"/>
      <c r="B565" s="291">
        <v>3</v>
      </c>
      <c r="C565" s="283" t="s">
        <v>224</v>
      </c>
      <c r="D565" s="292" t="s">
        <v>225</v>
      </c>
      <c r="E565" s="283"/>
      <c r="F565" s="283"/>
      <c r="G565" s="178">
        <v>0</v>
      </c>
      <c r="H565" s="312">
        <v>0</v>
      </c>
      <c r="I565" s="312">
        <v>0</v>
      </c>
      <c r="J565" s="312">
        <v>0</v>
      </c>
      <c r="K565" s="312">
        <v>0</v>
      </c>
      <c r="L565" s="312">
        <v>0</v>
      </c>
      <c r="M565" s="312">
        <v>0</v>
      </c>
      <c r="N565" s="313">
        <v>0</v>
      </c>
      <c r="O565" s="313">
        <v>0</v>
      </c>
      <c r="P565" s="313">
        <v>0</v>
      </c>
      <c r="Q565" s="313">
        <v>0</v>
      </c>
      <c r="R565" s="313">
        <v>0</v>
      </c>
      <c r="S565" s="313">
        <v>0</v>
      </c>
      <c r="T565" s="313">
        <v>0</v>
      </c>
      <c r="U565" s="313">
        <v>0</v>
      </c>
      <c r="V565" s="313">
        <v>0</v>
      </c>
      <c r="W565" s="313">
        <v>0</v>
      </c>
      <c r="X565" s="313">
        <v>0</v>
      </c>
      <c r="Y565" s="313">
        <v>0</v>
      </c>
      <c r="Z565" s="313">
        <v>0</v>
      </c>
      <c r="AA565" s="313">
        <v>0</v>
      </c>
      <c r="AB565" s="313">
        <v>0</v>
      </c>
      <c r="AC565" s="313">
        <v>0</v>
      </c>
      <c r="AD565" s="313">
        <v>0</v>
      </c>
      <c r="AE565" s="313">
        <v>0</v>
      </c>
      <c r="AF565" s="313">
        <v>0</v>
      </c>
      <c r="AG565" s="313">
        <v>0</v>
      </c>
      <c r="AH565" s="313">
        <v>0</v>
      </c>
      <c r="AI565" s="313">
        <v>0</v>
      </c>
      <c r="AJ565" s="313">
        <v>0</v>
      </c>
      <c r="AK565" s="313">
        <v>0</v>
      </c>
      <c r="AL565" s="313">
        <v>0</v>
      </c>
      <c r="AM565" s="313">
        <v>0</v>
      </c>
      <c r="AN565" s="313">
        <v>0</v>
      </c>
      <c r="AO565" s="313">
        <v>0</v>
      </c>
      <c r="AP565" s="313">
        <v>0</v>
      </c>
      <c r="AQ565" s="313">
        <v>0</v>
      </c>
      <c r="AR565" s="314">
        <v>0</v>
      </c>
    </row>
    <row r="566" spans="1:44" x14ac:dyDescent="0.2">
      <c r="A566" s="283"/>
      <c r="B566" s="291">
        <v>4</v>
      </c>
      <c r="C566" s="283" t="s">
        <v>226</v>
      </c>
      <c r="D566" s="292" t="s">
        <v>227</v>
      </c>
      <c r="E566" s="283"/>
      <c r="F566" s="283"/>
      <c r="G566" s="178">
        <v>0</v>
      </c>
      <c r="H566" s="312">
        <v>0</v>
      </c>
      <c r="I566" s="312">
        <v>0</v>
      </c>
      <c r="J566" s="312">
        <v>0</v>
      </c>
      <c r="K566" s="312">
        <v>0</v>
      </c>
      <c r="L566" s="312">
        <v>0</v>
      </c>
      <c r="M566" s="312">
        <v>0</v>
      </c>
      <c r="N566" s="313">
        <v>5.0288200581253752</v>
      </c>
      <c r="O566" s="313">
        <v>5.094018182548151</v>
      </c>
      <c r="P566" s="313">
        <v>5.1605821305089803</v>
      </c>
      <c r="Q566" s="313">
        <v>5.063873636230495</v>
      </c>
      <c r="R566" s="313">
        <v>4.6418146096589119</v>
      </c>
      <c r="S566" s="313">
        <v>4.3044809910158559</v>
      </c>
      <c r="T566" s="313">
        <v>3.9777536050081919</v>
      </c>
      <c r="U566" s="313">
        <v>3.6787500088378091</v>
      </c>
      <c r="V566" s="313">
        <v>3.5277017160780506</v>
      </c>
      <c r="W566" s="313">
        <v>3.3530609547505512</v>
      </c>
      <c r="X566" s="313">
        <v>3.3708487154808493</v>
      </c>
      <c r="Y566" s="313">
        <v>3.3885896320366897</v>
      </c>
      <c r="Z566" s="313">
        <v>3.4064310704343903</v>
      </c>
      <c r="AA566" s="313">
        <v>3.4243736907793476</v>
      </c>
      <c r="AB566" s="313">
        <v>3.4424181585765345</v>
      </c>
      <c r="AC566" s="313">
        <v>3.4605651447854795</v>
      </c>
      <c r="AD566" s="313">
        <v>3.4786899993749025</v>
      </c>
      <c r="AE566" s="313">
        <v>3.4969155283373232</v>
      </c>
      <c r="AF566" s="313">
        <v>3.515242357916823</v>
      </c>
      <c r="AG566" s="313">
        <v>3.533671118990942</v>
      </c>
      <c r="AH566" s="313">
        <v>3.5522024471122005</v>
      </c>
      <c r="AI566" s="313">
        <v>3.5708369825500732</v>
      </c>
      <c r="AJ566" s="313">
        <v>3.5895753703333915</v>
      </c>
      <c r="AK566" s="313">
        <v>3.6084182602931794</v>
      </c>
      <c r="AL566" s="313">
        <v>3.6273663071059588</v>
      </c>
      <c r="AM566" s="313">
        <v>3.6464201703374863</v>
      </c>
      <c r="AN566" s="313">
        <v>3.6655805144869547</v>
      </c>
      <c r="AO566" s="313">
        <v>3.6848480090316551</v>
      </c>
      <c r="AP566" s="313">
        <v>3.7042233284721169</v>
      </c>
      <c r="AQ566" s="313">
        <v>3.7237071523777057</v>
      </c>
      <c r="AR566" s="314">
        <v>3.7433001654327072</v>
      </c>
    </row>
    <row r="567" spans="1:44" x14ac:dyDescent="0.2">
      <c r="A567" s="283"/>
      <c r="B567" s="291">
        <v>5</v>
      </c>
      <c r="C567" s="283" t="s">
        <v>228</v>
      </c>
      <c r="D567" s="292" t="s">
        <v>221</v>
      </c>
      <c r="E567" s="283"/>
      <c r="F567" s="283"/>
      <c r="G567" s="178">
        <v>0</v>
      </c>
      <c r="H567" s="312">
        <v>0</v>
      </c>
      <c r="I567" s="312">
        <v>0</v>
      </c>
      <c r="J567" s="312">
        <v>0</v>
      </c>
      <c r="K567" s="312">
        <v>0</v>
      </c>
      <c r="L567" s="312">
        <v>0</v>
      </c>
      <c r="M567" s="312">
        <v>0</v>
      </c>
      <c r="N567" s="313">
        <v>2.9010930006114228</v>
      </c>
      <c r="O567" s="313">
        <v>2.9155984656144796</v>
      </c>
      <c r="P567" s="313">
        <v>2.9301764579425518</v>
      </c>
      <c r="Q567" s="313">
        <v>2.7133023204728839</v>
      </c>
      <c r="R567" s="313">
        <v>2.5281067651901004</v>
      </c>
      <c r="S567" s="313">
        <v>1.8945068217123784</v>
      </c>
      <c r="T567" s="313">
        <v>1.0697132329892383</v>
      </c>
      <c r="U567" s="313">
        <v>0.43002471966167388</v>
      </c>
      <c r="V567" s="313">
        <v>8.6434968651996388E-2</v>
      </c>
      <c r="W567" s="313">
        <v>0</v>
      </c>
      <c r="X567" s="313">
        <v>0</v>
      </c>
      <c r="Y567" s="313">
        <v>0</v>
      </c>
      <c r="Z567" s="313">
        <v>0</v>
      </c>
      <c r="AA567" s="313">
        <v>0</v>
      </c>
      <c r="AB567" s="313">
        <v>0</v>
      </c>
      <c r="AC567" s="313">
        <v>0</v>
      </c>
      <c r="AD567" s="313">
        <v>0</v>
      </c>
      <c r="AE567" s="313">
        <v>0</v>
      </c>
      <c r="AF567" s="313">
        <v>0</v>
      </c>
      <c r="AG567" s="313">
        <v>0</v>
      </c>
      <c r="AH567" s="313">
        <v>0</v>
      </c>
      <c r="AI567" s="313">
        <v>0</v>
      </c>
      <c r="AJ567" s="313">
        <v>0</v>
      </c>
      <c r="AK567" s="313">
        <v>0</v>
      </c>
      <c r="AL567" s="313">
        <v>0</v>
      </c>
      <c r="AM567" s="313">
        <v>0</v>
      </c>
      <c r="AN567" s="313">
        <v>0</v>
      </c>
      <c r="AO567" s="313">
        <v>0</v>
      </c>
      <c r="AP567" s="313">
        <v>0</v>
      </c>
      <c r="AQ567" s="313">
        <v>0</v>
      </c>
      <c r="AR567" s="314">
        <v>0</v>
      </c>
    </row>
    <row r="568" spans="1:44" x14ac:dyDescent="0.2">
      <c r="A568" s="283"/>
      <c r="B568" s="291">
        <v>6</v>
      </c>
      <c r="C568" s="283" t="s">
        <v>229</v>
      </c>
      <c r="D568" s="292" t="s">
        <v>230</v>
      </c>
      <c r="E568" s="283"/>
      <c r="F568" s="283"/>
      <c r="G568" s="178">
        <v>0</v>
      </c>
      <c r="H568" s="312">
        <v>0</v>
      </c>
      <c r="I568" s="312">
        <v>0</v>
      </c>
      <c r="J568" s="312">
        <v>0</v>
      </c>
      <c r="K568" s="312">
        <v>0</v>
      </c>
      <c r="L568" s="312">
        <v>0</v>
      </c>
      <c r="M568" s="312">
        <v>0</v>
      </c>
      <c r="N568" s="313">
        <v>7.7583955178330122</v>
      </c>
      <c r="O568" s="313">
        <v>7.9286751936068507</v>
      </c>
      <c r="P568" s="313">
        <v>8.0216752990787104</v>
      </c>
      <c r="Q568" s="313">
        <v>8.1139134635060195</v>
      </c>
      <c r="R568" s="313">
        <v>8.2052318765525918</v>
      </c>
      <c r="S568" s="313">
        <v>8.2954348679635217</v>
      </c>
      <c r="T568" s="313">
        <v>8.38521731743643</v>
      </c>
      <c r="U568" s="313">
        <v>8.5611532070540068</v>
      </c>
      <c r="V568" s="313">
        <v>8.722999792415969</v>
      </c>
      <c r="W568" s="313">
        <v>8.8839308918261377</v>
      </c>
      <c r="X568" s="313">
        <v>9.045868003153112</v>
      </c>
      <c r="Y568" s="313">
        <v>9.2380283470428921</v>
      </c>
      <c r="Z568" s="313">
        <v>9.4000104307076793</v>
      </c>
      <c r="AA568" s="313">
        <v>9.5908359717969631</v>
      </c>
      <c r="AB568" s="313">
        <v>9.7675728798818149</v>
      </c>
      <c r="AC568" s="313">
        <v>9.9738894725070928</v>
      </c>
      <c r="AD568" s="313">
        <v>10.181212755029652</v>
      </c>
      <c r="AE568" s="313">
        <v>10.370750054366059</v>
      </c>
      <c r="AF568" s="313">
        <v>10.578515981958407</v>
      </c>
      <c r="AG568" s="313">
        <v>10.755414450238099</v>
      </c>
      <c r="AH568" s="313">
        <v>11.006407077978533</v>
      </c>
      <c r="AI568" s="313">
        <v>11.228308787005817</v>
      </c>
      <c r="AJ568" s="313">
        <v>11.44949819109058</v>
      </c>
      <c r="AK568" s="313">
        <v>11.685806503358322</v>
      </c>
      <c r="AL568" s="313">
        <v>11.922535054810858</v>
      </c>
      <c r="AM568" s="313">
        <v>12.159581351942466</v>
      </c>
      <c r="AN568" s="313">
        <v>12.426162624067963</v>
      </c>
      <c r="AO568" s="313">
        <v>12.679099094930631</v>
      </c>
      <c r="AP568" s="313">
        <v>12.930973674063253</v>
      </c>
      <c r="AQ568" s="313">
        <v>13.212944066355348</v>
      </c>
      <c r="AR568" s="314">
        <v>13.480951075633158</v>
      </c>
    </row>
    <row r="569" spans="1:44" x14ac:dyDescent="0.2">
      <c r="A569" s="283"/>
      <c r="B569" s="291">
        <v>7</v>
      </c>
      <c r="C569" s="283" t="s">
        <v>231</v>
      </c>
      <c r="D569" s="292" t="s">
        <v>225</v>
      </c>
      <c r="E569" s="283"/>
      <c r="F569" s="283"/>
      <c r="G569" s="178">
        <v>0</v>
      </c>
      <c r="H569" s="312">
        <v>0</v>
      </c>
      <c r="I569" s="312">
        <v>0</v>
      </c>
      <c r="J569" s="312">
        <v>0</v>
      </c>
      <c r="K569" s="312">
        <v>0</v>
      </c>
      <c r="L569" s="312">
        <v>0</v>
      </c>
      <c r="M569" s="312">
        <v>0</v>
      </c>
      <c r="N569" s="313">
        <v>0</v>
      </c>
      <c r="O569" s="313">
        <v>0</v>
      </c>
      <c r="P569" s="313">
        <v>0</v>
      </c>
      <c r="Q569" s="313">
        <v>0</v>
      </c>
      <c r="R569" s="313">
        <v>0</v>
      </c>
      <c r="S569" s="313">
        <v>0</v>
      </c>
      <c r="T569" s="313">
        <v>0</v>
      </c>
      <c r="U569" s="313">
        <v>0</v>
      </c>
      <c r="V569" s="313">
        <v>0</v>
      </c>
      <c r="W569" s="313">
        <v>0</v>
      </c>
      <c r="X569" s="313">
        <v>0</v>
      </c>
      <c r="Y569" s="313">
        <v>0</v>
      </c>
      <c r="Z569" s="313">
        <v>0</v>
      </c>
      <c r="AA569" s="313">
        <v>0</v>
      </c>
      <c r="AB569" s="313">
        <v>0</v>
      </c>
      <c r="AC569" s="313">
        <v>0</v>
      </c>
      <c r="AD569" s="313">
        <v>0</v>
      </c>
      <c r="AE569" s="313">
        <v>0</v>
      </c>
      <c r="AF569" s="313">
        <v>0</v>
      </c>
      <c r="AG569" s="313">
        <v>0</v>
      </c>
      <c r="AH569" s="313">
        <v>0</v>
      </c>
      <c r="AI569" s="313">
        <v>0</v>
      </c>
      <c r="AJ569" s="313">
        <v>0</v>
      </c>
      <c r="AK569" s="313">
        <v>0</v>
      </c>
      <c r="AL569" s="313">
        <v>0</v>
      </c>
      <c r="AM569" s="313">
        <v>0</v>
      </c>
      <c r="AN569" s="313">
        <v>0</v>
      </c>
      <c r="AO569" s="313">
        <v>0</v>
      </c>
      <c r="AP569" s="313">
        <v>0</v>
      </c>
      <c r="AQ569" s="313">
        <v>0</v>
      </c>
      <c r="AR569" s="314">
        <v>0</v>
      </c>
    </row>
    <row r="570" spans="1:44" x14ac:dyDescent="0.2">
      <c r="A570" s="283"/>
      <c r="B570" s="291">
        <v>8</v>
      </c>
      <c r="C570" s="283" t="s">
        <v>232</v>
      </c>
      <c r="D570" s="292" t="s">
        <v>233</v>
      </c>
      <c r="E570" s="283"/>
      <c r="F570" s="283"/>
      <c r="G570" s="178">
        <v>0</v>
      </c>
      <c r="H570" s="312">
        <v>0</v>
      </c>
      <c r="I570" s="312">
        <v>0</v>
      </c>
      <c r="J570" s="312">
        <v>0</v>
      </c>
      <c r="K570" s="312">
        <v>0</v>
      </c>
      <c r="L570" s="312">
        <v>0</v>
      </c>
      <c r="M570" s="312">
        <v>0</v>
      </c>
      <c r="N570" s="313">
        <v>22.410025856465477</v>
      </c>
      <c r="O570" s="313">
        <v>22.728571729386093</v>
      </c>
      <c r="P570" s="313">
        <v>23.054492251467387</v>
      </c>
      <c r="Q570" s="313">
        <v>23.147953443334185</v>
      </c>
      <c r="R570" s="313">
        <v>23.277427217445645</v>
      </c>
      <c r="S570" s="313">
        <v>23.445143740923577</v>
      </c>
      <c r="T570" s="313">
        <v>23.619212642459022</v>
      </c>
      <c r="U570" s="313">
        <v>23.949208657321769</v>
      </c>
      <c r="V570" s="313">
        <v>24.28774075459409</v>
      </c>
      <c r="W570" s="313">
        <v>24.635241884364238</v>
      </c>
      <c r="X570" s="313">
        <v>24.992177443452228</v>
      </c>
      <c r="Y570" s="313">
        <v>25.332237411931462</v>
      </c>
      <c r="Z570" s="313">
        <v>25.68201838875099</v>
      </c>
      <c r="AA570" s="313">
        <v>26.042084464400372</v>
      </c>
      <c r="AB570" s="313">
        <v>26.4130441949948</v>
      </c>
      <c r="AC570" s="313">
        <v>27.87692251142516</v>
      </c>
      <c r="AD570" s="313">
        <v>28.262639963088159</v>
      </c>
      <c r="AE570" s="313">
        <v>28.660975248507654</v>
      </c>
      <c r="AF570" s="313">
        <v>29.07274680863339</v>
      </c>
      <c r="AG570" s="313">
        <v>29.498839699124634</v>
      </c>
      <c r="AH570" s="313">
        <v>29.940211261211573</v>
      </c>
      <c r="AI570" s="313">
        <v>30.397897279489698</v>
      </c>
      <c r="AJ570" s="313">
        <v>30.873018668538574</v>
      </c>
      <c r="AK570" s="313">
        <v>31.366788733863487</v>
      </c>
      <c r="AL570" s="313">
        <v>31.880521056573471</v>
      </c>
      <c r="AM570" s="313">
        <v>32.415638055463823</v>
      </c>
      <c r="AN570" s="313">
        <v>32.973680284790369</v>
      </c>
      <c r="AO570" s="313">
        <v>33.556316531040608</v>
      </c>
      <c r="AP570" s="313">
        <v>34.165354777455832</v>
      </c>
      <c r="AQ570" s="313">
        <v>34.802754110977581</v>
      </c>
      <c r="AR570" s="327">
        <v>35.277955313423632</v>
      </c>
    </row>
    <row r="571" spans="1:44" ht="17" thickBot="1" x14ac:dyDescent="0.25">
      <c r="A571" s="328"/>
      <c r="B571" s="329"/>
      <c r="C571" s="330" t="s">
        <v>84</v>
      </c>
      <c r="D571" s="331"/>
      <c r="E571" s="330"/>
      <c r="F571" s="330"/>
      <c r="G571" s="332">
        <v>0</v>
      </c>
      <c r="H571" s="332">
        <v>0</v>
      </c>
      <c r="I571" s="332">
        <v>0</v>
      </c>
      <c r="J571" s="332">
        <v>0</v>
      </c>
      <c r="K571" s="332">
        <v>0</v>
      </c>
      <c r="L571" s="333">
        <v>0</v>
      </c>
      <c r="M571" s="332">
        <v>0</v>
      </c>
      <c r="N571" s="330">
        <v>39.260590798453137</v>
      </c>
      <c r="O571" s="330">
        <v>39.851786040530357</v>
      </c>
      <c r="P571" s="330">
        <v>40.374980502744975</v>
      </c>
      <c r="Q571" s="330">
        <v>40.112267835077603</v>
      </c>
      <c r="R571" s="330">
        <v>39.653129149250681</v>
      </c>
      <c r="S571" s="330">
        <v>38.85838617374209</v>
      </c>
      <c r="T571" s="330">
        <v>37.91331002351405</v>
      </c>
      <c r="U571" s="330">
        <v>37.464677221873117</v>
      </c>
      <c r="V571" s="330">
        <v>37.451764046257807</v>
      </c>
      <c r="W571" s="330">
        <v>37.677472435425443</v>
      </c>
      <c r="X571" s="330">
        <v>38.235773476337613</v>
      </c>
      <c r="Y571" s="330">
        <v>38.803441555006145</v>
      </c>
      <c r="Z571" s="330">
        <v>39.34663162162505</v>
      </c>
      <c r="AA571" s="330">
        <v>39.929295269645721</v>
      </c>
      <c r="AB571" s="330">
        <v>40.509114311199355</v>
      </c>
      <c r="AC571" s="330">
        <v>42.211787441139087</v>
      </c>
      <c r="AD571" s="330">
        <v>42.837201317049335</v>
      </c>
      <c r="AE571" s="330">
        <v>43.457802143136647</v>
      </c>
      <c r="AF571" s="330">
        <v>44.110428501980586</v>
      </c>
      <c r="AG571" s="330">
        <v>44.746874996370309</v>
      </c>
      <c r="AH571" s="330">
        <v>45.473066327679888</v>
      </c>
      <c r="AI571" s="330">
        <v>46.186859052581674</v>
      </c>
      <c r="AJ571" s="330">
        <v>46.917758660812922</v>
      </c>
      <c r="AK571" s="330">
        <v>47.682815745832848</v>
      </c>
      <c r="AL571" s="330">
        <v>48.468651410377277</v>
      </c>
      <c r="AM571" s="330">
        <v>49.276591888563601</v>
      </c>
      <c r="AN571" s="330">
        <v>50.137401393451782</v>
      </c>
      <c r="AO571" s="330">
        <v>51.009575487935578</v>
      </c>
      <c r="AP571" s="330">
        <v>51.907511743192586</v>
      </c>
      <c r="AQ571" s="330">
        <v>52.864333757820752</v>
      </c>
      <c r="AR571" s="334">
        <v>53.645430055274275</v>
      </c>
    </row>
    <row r="572" spans="1:44" x14ac:dyDescent="0.2">
      <c r="A572" s="335"/>
      <c r="B572" s="336"/>
      <c r="C572" s="335"/>
      <c r="D572" s="335"/>
      <c r="E572" s="335"/>
      <c r="F572" s="335"/>
      <c r="G572" s="336"/>
      <c r="H572" s="336"/>
      <c r="I572" s="336"/>
      <c r="J572" s="336"/>
      <c r="K572" s="337"/>
      <c r="L572" s="337"/>
      <c r="M572" s="337"/>
      <c r="N572" s="337"/>
      <c r="O572" s="337"/>
      <c r="P572" s="337"/>
      <c r="Q572" s="337"/>
      <c r="R572" s="337"/>
      <c r="S572" s="337"/>
      <c r="T572" s="337"/>
      <c r="U572" s="337"/>
      <c r="V572" s="337"/>
      <c r="W572" s="337"/>
      <c r="X572" s="337"/>
      <c r="Y572" s="337"/>
      <c r="Z572" s="337"/>
      <c r="AA572" s="337"/>
      <c r="AB572" s="337"/>
      <c r="AC572" s="337"/>
      <c r="AD572" s="337"/>
      <c r="AE572" s="337"/>
      <c r="AF572" s="337"/>
      <c r="AG572" s="337"/>
      <c r="AH572" s="337"/>
      <c r="AI572" s="337"/>
      <c r="AJ572" s="337"/>
      <c r="AK572" s="337"/>
      <c r="AL572" s="337"/>
      <c r="AM572" s="337"/>
      <c r="AN572" s="337"/>
      <c r="AO572" s="337"/>
      <c r="AP572" s="337"/>
      <c r="AQ572" s="337"/>
      <c r="AR572" s="337"/>
    </row>
    <row r="573" spans="1:44" x14ac:dyDescent="0.2">
      <c r="A573" s="338"/>
      <c r="B573" s="339"/>
      <c r="C573" s="338"/>
      <c r="D573" s="338"/>
      <c r="E573" s="338"/>
      <c r="F573" s="338"/>
      <c r="G573" s="339"/>
      <c r="H573" s="339"/>
      <c r="I573" s="339"/>
      <c r="J573" s="339"/>
      <c r="K573" s="340"/>
      <c r="L573" s="340"/>
      <c r="M573" s="340"/>
      <c r="N573" s="340"/>
      <c r="O573" s="340"/>
      <c r="P573" s="340"/>
      <c r="Q573" s="340"/>
      <c r="R573" s="340"/>
      <c r="S573" s="340"/>
      <c r="T573" s="340"/>
      <c r="U573" s="340"/>
      <c r="V573" s="340"/>
      <c r="W573" s="340"/>
      <c r="X573" s="340"/>
      <c r="Y573" s="340"/>
      <c r="Z573" s="340"/>
      <c r="AA573" s="340"/>
      <c r="AB573" s="340"/>
      <c r="AC573" s="340"/>
      <c r="AD573" s="340"/>
      <c r="AE573" s="340"/>
      <c r="AF573" s="340"/>
      <c r="AG573" s="340"/>
      <c r="AH573" s="340"/>
      <c r="AI573" s="340"/>
      <c r="AJ573" s="340"/>
      <c r="AK573" s="340"/>
      <c r="AL573" s="340"/>
      <c r="AM573" s="340"/>
      <c r="AN573" s="340"/>
      <c r="AO573" s="340"/>
      <c r="AP573" s="340"/>
      <c r="AQ573" s="340"/>
      <c r="AR573" s="340"/>
    </row>
    <row r="574" spans="1:44" x14ac:dyDescent="0.2">
      <c r="A574" s="254" t="s">
        <v>296</v>
      </c>
      <c r="B574" s="139"/>
      <c r="C574" s="140" t="s">
        <v>297</v>
      </c>
      <c r="D574" s="140"/>
      <c r="E574" s="140"/>
      <c r="F574" s="140"/>
      <c r="G574" s="142"/>
      <c r="H574" s="142"/>
      <c r="I574" s="139"/>
      <c r="J574" s="139"/>
      <c r="K574" s="139"/>
      <c r="L574" s="143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0"/>
      <c r="X574" s="144"/>
      <c r="Y574" s="144"/>
      <c r="Z574" s="144"/>
      <c r="AA574" s="144"/>
      <c r="AB574" s="144"/>
      <c r="AC574" s="144"/>
      <c r="AD574" s="144"/>
      <c r="AE574" s="144"/>
      <c r="AF574" s="144"/>
      <c r="AG574" s="144"/>
      <c r="AH574" s="144"/>
      <c r="AI574" s="144"/>
      <c r="AJ574" s="144"/>
      <c r="AK574" s="144"/>
      <c r="AL574" s="144"/>
      <c r="AM574" s="144"/>
      <c r="AN574" s="144"/>
      <c r="AO574" s="144"/>
      <c r="AP574" s="144"/>
      <c r="AQ574" s="144"/>
      <c r="AR574" s="144"/>
    </row>
    <row r="575" spans="1:44" ht="45" x14ac:dyDescent="0.2">
      <c r="A575" s="276"/>
      <c r="B575" s="277"/>
      <c r="C575" s="278" t="s">
        <v>253</v>
      </c>
      <c r="D575" s="279" t="s">
        <v>279</v>
      </c>
      <c r="E575" s="278"/>
      <c r="F575" s="278"/>
      <c r="G575" s="280">
        <v>2019</v>
      </c>
      <c r="H575" s="280">
        <v>2020</v>
      </c>
      <c r="I575" s="280">
        <v>2021</v>
      </c>
      <c r="J575" s="280">
        <v>2022</v>
      </c>
      <c r="K575" s="280">
        <v>2023</v>
      </c>
      <c r="L575" s="281">
        <v>45352</v>
      </c>
      <c r="M575" s="280">
        <v>2024</v>
      </c>
      <c r="N575" s="278">
        <v>2025</v>
      </c>
      <c r="O575" s="278">
        <v>2026</v>
      </c>
      <c r="P575" s="278">
        <v>2027</v>
      </c>
      <c r="Q575" s="278">
        <v>2028</v>
      </c>
      <c r="R575" s="278">
        <v>2029</v>
      </c>
      <c r="S575" s="278">
        <v>2030</v>
      </c>
      <c r="T575" s="278">
        <v>2031</v>
      </c>
      <c r="U575" s="278">
        <v>2032</v>
      </c>
      <c r="V575" s="278">
        <v>2033</v>
      </c>
      <c r="W575" s="278">
        <v>2034</v>
      </c>
      <c r="X575" s="278">
        <v>2035</v>
      </c>
      <c r="Y575" s="278">
        <v>2036</v>
      </c>
      <c r="Z575" s="278">
        <v>2037</v>
      </c>
      <c r="AA575" s="278">
        <v>2038</v>
      </c>
      <c r="AB575" s="278">
        <v>2039</v>
      </c>
      <c r="AC575" s="278">
        <v>2040</v>
      </c>
      <c r="AD575" s="278">
        <v>2041</v>
      </c>
      <c r="AE575" s="278">
        <v>2042</v>
      </c>
      <c r="AF575" s="278">
        <v>2043</v>
      </c>
      <c r="AG575" s="278">
        <v>2044</v>
      </c>
      <c r="AH575" s="278">
        <v>2045</v>
      </c>
      <c r="AI575" s="278">
        <v>2046</v>
      </c>
      <c r="AJ575" s="278">
        <v>2047</v>
      </c>
      <c r="AK575" s="278">
        <v>2048</v>
      </c>
      <c r="AL575" s="278">
        <v>2049</v>
      </c>
      <c r="AM575" s="278">
        <v>2050</v>
      </c>
      <c r="AN575" s="278">
        <v>2051</v>
      </c>
      <c r="AO575" s="278">
        <v>2052</v>
      </c>
      <c r="AP575" s="278">
        <v>2053</v>
      </c>
      <c r="AQ575" s="278">
        <v>2054</v>
      </c>
      <c r="AR575" s="282">
        <v>2055</v>
      </c>
    </row>
    <row r="576" spans="1:44" x14ac:dyDescent="0.2">
      <c r="A576" s="283"/>
      <c r="B576" s="284"/>
      <c r="C576" s="285"/>
      <c r="D576" s="286"/>
      <c r="E576" s="287"/>
      <c r="F576" s="285"/>
      <c r="G576" s="285" t="s">
        <v>243</v>
      </c>
      <c r="H576" s="285" t="s">
        <v>243</v>
      </c>
      <c r="I576" s="285" t="s">
        <v>243</v>
      </c>
      <c r="J576" s="285" t="s">
        <v>243</v>
      </c>
      <c r="K576" s="285" t="s">
        <v>243</v>
      </c>
      <c r="L576" s="285" t="s">
        <v>244</v>
      </c>
      <c r="M576" s="285" t="s">
        <v>245</v>
      </c>
      <c r="N576" s="285"/>
      <c r="O576" s="285"/>
      <c r="P576" s="285"/>
      <c r="Q576" s="285"/>
      <c r="R576" s="285"/>
      <c r="S576" s="285"/>
      <c r="T576" s="285"/>
      <c r="U576" s="288"/>
      <c r="V576" s="289"/>
      <c r="W576" s="285"/>
      <c r="X576" s="285"/>
      <c r="Y576" s="285"/>
      <c r="Z576" s="285"/>
      <c r="AA576" s="285"/>
      <c r="AB576" s="285"/>
      <c r="AC576" s="285"/>
      <c r="AD576" s="285"/>
      <c r="AE576" s="285"/>
      <c r="AF576" s="285"/>
      <c r="AG576" s="285"/>
      <c r="AH576" s="285"/>
      <c r="AI576" s="285"/>
      <c r="AJ576" s="285"/>
      <c r="AK576" s="285"/>
      <c r="AL576" s="285"/>
      <c r="AM576" s="285"/>
      <c r="AN576" s="285"/>
      <c r="AO576" s="285"/>
      <c r="AP576" s="285"/>
      <c r="AQ576" s="285"/>
      <c r="AR576" s="290"/>
    </row>
    <row r="577" spans="1:44" x14ac:dyDescent="0.2">
      <c r="A577" s="283"/>
      <c r="B577" s="291">
        <v>1</v>
      </c>
      <c r="C577" s="283" t="s">
        <v>220</v>
      </c>
      <c r="D577" s="292" t="s">
        <v>221</v>
      </c>
      <c r="E577" s="283"/>
      <c r="F577" s="283"/>
      <c r="G577" s="312">
        <v>0</v>
      </c>
      <c r="H577" s="312">
        <v>0</v>
      </c>
      <c r="I577" s="312">
        <v>0</v>
      </c>
      <c r="J577" s="312">
        <v>0</v>
      </c>
      <c r="K577" s="312">
        <v>4.4408920985006262E-16</v>
      </c>
      <c r="L577" s="312">
        <v>0</v>
      </c>
      <c r="M577" s="312">
        <v>2.3318113727857748E-2</v>
      </c>
      <c r="N577" s="313">
        <v>0.28041252194506472</v>
      </c>
      <c r="O577" s="313">
        <v>0.31199776497155152</v>
      </c>
      <c r="P577" s="313">
        <v>0.34426787092088496</v>
      </c>
      <c r="Q577" s="313">
        <v>0.33835224703822353</v>
      </c>
      <c r="R577" s="313">
        <v>0.33339343050738257</v>
      </c>
      <c r="S577" s="313">
        <v>1.6525825028876555</v>
      </c>
      <c r="T577" s="313">
        <v>1.7304106018903962</v>
      </c>
      <c r="U577" s="313">
        <v>1.8514485367178639</v>
      </c>
      <c r="V577" s="313">
        <v>1.9799602060787445</v>
      </c>
      <c r="W577" s="313">
        <v>2.1163788552530369</v>
      </c>
      <c r="X577" s="313">
        <v>2.1927645289591013</v>
      </c>
      <c r="Y577" s="313">
        <v>2.2690109308684288</v>
      </c>
      <c r="Z577" s="313">
        <v>2.3479868276064741</v>
      </c>
      <c r="AA577" s="313">
        <v>2.3907584577590373</v>
      </c>
      <c r="AB577" s="313">
        <v>2.4284788829007509</v>
      </c>
      <c r="AC577" s="313">
        <f>2.46351954302097-1.43285</f>
        <v>1.0306695430209702</v>
      </c>
      <c r="AD577" s="313">
        <f>2.49430194577417-1.60632</f>
        <v>0.88798194577417022</v>
      </c>
      <c r="AE577" s="313">
        <v>2.3905586286168901</v>
      </c>
      <c r="AF577" s="313">
        <v>2.4004004163372299</v>
      </c>
      <c r="AG577" s="313">
        <v>2.5895540604910252</v>
      </c>
      <c r="AH577" s="313">
        <v>2.6223248462419368</v>
      </c>
      <c r="AI577" s="313">
        <v>2.6556341465247995</v>
      </c>
      <c r="AJ577" s="313">
        <v>2.6895007778749758</v>
      </c>
      <c r="AK577" s="313">
        <v>2.7239448462818063</v>
      </c>
      <c r="AL577" s="313">
        <v>2.7390707854494898</v>
      </c>
      <c r="AM577" s="313">
        <v>2.7946528185510942</v>
      </c>
      <c r="AN577" s="313">
        <v>2.8167343945182099</v>
      </c>
      <c r="AO577" s="313">
        <v>2.13254891492037</v>
      </c>
      <c r="AP577" s="313">
        <v>2.81058929399844</v>
      </c>
      <c r="AQ577" s="313">
        <v>2.9440639177287098</v>
      </c>
      <c r="AR577" s="314">
        <v>2.9832353610016606</v>
      </c>
    </row>
    <row r="578" spans="1:44" x14ac:dyDescent="0.2">
      <c r="A578" s="283"/>
      <c r="B578" s="291">
        <v>2</v>
      </c>
      <c r="C578" s="283" t="s">
        <v>222</v>
      </c>
      <c r="D578" s="292" t="s">
        <v>223</v>
      </c>
      <c r="E578" s="283"/>
      <c r="F578" s="283"/>
      <c r="G578" s="178">
        <v>0</v>
      </c>
      <c r="H578" s="312">
        <v>0</v>
      </c>
      <c r="I578" s="312">
        <v>0</v>
      </c>
      <c r="J578" s="312">
        <v>0</v>
      </c>
      <c r="K578" s="312">
        <v>8.8817841970012523E-16</v>
      </c>
      <c r="L578" s="312">
        <v>-8.8817841970012523E-16</v>
      </c>
      <c r="M578" s="312">
        <v>6.9177926579069293E-3</v>
      </c>
      <c r="N578" s="313">
        <v>1.452082714927692</v>
      </c>
      <c r="O578" s="313">
        <v>1.595890077026082</v>
      </c>
      <c r="P578" s="313">
        <v>1.7427801316243674</v>
      </c>
      <c r="Q578" s="313">
        <v>-0.22347187220896436</v>
      </c>
      <c r="R578" s="313">
        <v>-1.3387978565382732</v>
      </c>
      <c r="S578" s="313">
        <v>-2.0581385259215077</v>
      </c>
      <c r="T578" s="313">
        <v>-2.4853168343933536</v>
      </c>
      <c r="U578" s="313">
        <v>-2.3451652955038265</v>
      </c>
      <c r="V578" s="313">
        <v>-2.1984386666709952</v>
      </c>
      <c r="W578" s="313">
        <v>-2.044833955055497</v>
      </c>
      <c r="X578" s="313">
        <v>-1.8840342448701257</v>
      </c>
      <c r="Y578" s="313">
        <v>-1.7799389350675603</v>
      </c>
      <c r="Z578" s="313">
        <v>-1.7351761754945156</v>
      </c>
      <c r="AA578" s="313">
        <v>-1.6898298059346533</v>
      </c>
      <c r="AB578" s="313">
        <v>-1.6438890831259876</v>
      </c>
      <c r="AC578" s="313">
        <f>3.67365723531763-1.43285</f>
        <v>2.2408072353176305</v>
      </c>
      <c r="AD578" s="313">
        <f>3.71613457242556-1.60632</f>
        <v>2.1098145724255604</v>
      </c>
      <c r="AE578" s="313">
        <v>3.9250503590821699</v>
      </c>
      <c r="AF578" s="313">
        <v>3.80202591153909</v>
      </c>
      <c r="AG578" s="313">
        <v>3.8466699544825755</v>
      </c>
      <c r="AH578" s="313">
        <v>3.8912540681189589</v>
      </c>
      <c r="AI578" s="313">
        <v>3.9363950531988809</v>
      </c>
      <c r="AJ578" s="313">
        <v>3.9821065362603498</v>
      </c>
      <c r="AK578" s="313">
        <v>4.0284030416236964</v>
      </c>
      <c r="AL578" s="313">
        <v>4.0753000697954933</v>
      </c>
      <c r="AM578" s="313">
        <v>4.12171914182849</v>
      </c>
      <c r="AN578" s="313">
        <v>4.1154030974026403</v>
      </c>
      <c r="AO578" s="313">
        <v>4.7259765785859802</v>
      </c>
      <c r="AP578" s="313">
        <v>4.2692425866588595</v>
      </c>
      <c r="AQ578" s="313">
        <v>4.3194153243130531</v>
      </c>
      <c r="AR578" s="314">
        <v>4.370307440120178</v>
      </c>
    </row>
    <row r="579" spans="1:44" x14ac:dyDescent="0.2">
      <c r="A579" s="283"/>
      <c r="B579" s="291">
        <v>3</v>
      </c>
      <c r="C579" s="283" t="s">
        <v>224</v>
      </c>
      <c r="D579" s="292" t="s">
        <v>225</v>
      </c>
      <c r="E579" s="283"/>
      <c r="F579" s="283"/>
      <c r="G579" s="178">
        <v>0</v>
      </c>
      <c r="H579" s="312">
        <v>0</v>
      </c>
      <c r="I579" s="312">
        <v>0</v>
      </c>
      <c r="J579" s="312">
        <v>0</v>
      </c>
      <c r="K579" s="312">
        <v>0</v>
      </c>
      <c r="L579" s="312">
        <v>8.8817841970012523E-16</v>
      </c>
      <c r="M579" s="312">
        <v>8.8817841970012523E-16</v>
      </c>
      <c r="N579" s="313">
        <v>0.47309136998536516</v>
      </c>
      <c r="O579" s="313">
        <v>0.53755539985617773</v>
      </c>
      <c r="P579" s="313">
        <v>0.60295367399619249</v>
      </c>
      <c r="Q579" s="313">
        <v>-0.21768368188186393</v>
      </c>
      <c r="R579" s="313">
        <v>-0.80306693828089282</v>
      </c>
      <c r="S579" s="313">
        <v>-1.1467826184347079</v>
      </c>
      <c r="T579" s="313">
        <v>-1.4462222693593683</v>
      </c>
      <c r="U579" s="313">
        <v>-1.376804858774237</v>
      </c>
      <c r="V579" s="313">
        <v>-1.3054526434082128</v>
      </c>
      <c r="W579" s="313">
        <v>-1.23210040326919</v>
      </c>
      <c r="X579" s="313">
        <v>-1.1866560860417894</v>
      </c>
      <c r="Y579" s="313">
        <v>-1.1445249370055373</v>
      </c>
      <c r="Z579" s="313">
        <v>-1.1018725496936028</v>
      </c>
      <c r="AA579" s="313">
        <v>-1.058692379934917</v>
      </c>
      <c r="AB579" s="313">
        <v>-1.0149778003671019</v>
      </c>
      <c r="AC579" s="313">
        <f>3.67927790063201-1.43285</f>
        <v>2.2464279006320105</v>
      </c>
      <c r="AD579" s="313">
        <f>3.72142939736064-1.60632</f>
        <v>2.1151093973606399</v>
      </c>
      <c r="AE579" s="313">
        <v>3.7640679245773723</v>
      </c>
      <c r="AF579" s="313">
        <v>3.8071991535778618</v>
      </c>
      <c r="AG579" s="313">
        <v>3.8508288221636113</v>
      </c>
      <c r="AH579" s="313">
        <v>3.8893090404939494</v>
      </c>
      <c r="AI579" s="313">
        <v>3.9282145712545518</v>
      </c>
      <c r="AJ579" s="313">
        <v>3.9675503671139194</v>
      </c>
      <c r="AK579" s="313">
        <v>4.0073214398411778</v>
      </c>
      <c r="AL579" s="313">
        <v>4.0277213286101903</v>
      </c>
      <c r="AM579" s="313">
        <v>4.0882990627666498</v>
      </c>
      <c r="AN579" s="313">
        <v>4.1421756173384603</v>
      </c>
      <c r="AO579" s="313">
        <v>4.1715590843513803</v>
      </c>
      <c r="AP579" s="313">
        <v>4.2228855960482496</v>
      </c>
      <c r="AQ579" s="313">
        <v>4.2553769777271215</v>
      </c>
      <c r="AR579" s="314">
        <v>4.2983404344844205</v>
      </c>
    </row>
    <row r="580" spans="1:44" x14ac:dyDescent="0.2">
      <c r="A580" s="283"/>
      <c r="B580" s="291">
        <v>4</v>
      </c>
      <c r="C580" s="283" t="s">
        <v>226</v>
      </c>
      <c r="D580" s="292" t="s">
        <v>227</v>
      </c>
      <c r="E580" s="283"/>
      <c r="F580" s="283"/>
      <c r="G580" s="178">
        <v>0</v>
      </c>
      <c r="H580" s="312">
        <v>0</v>
      </c>
      <c r="I580" s="312">
        <v>0</v>
      </c>
      <c r="J580" s="312">
        <v>0</v>
      </c>
      <c r="K580" s="312">
        <v>-2.3878493150684936</v>
      </c>
      <c r="L580" s="312">
        <v>-2.2201030757240527</v>
      </c>
      <c r="M580" s="312">
        <v>-2.1149591158342518</v>
      </c>
      <c r="N580" s="313">
        <v>-0.3931975009850035</v>
      </c>
      <c r="O580" s="313">
        <v>-0.33566815411684914</v>
      </c>
      <c r="P580" s="313">
        <v>-0.27646829476946522</v>
      </c>
      <c r="Q580" s="313">
        <v>-0.77105983190874738</v>
      </c>
      <c r="R580" s="313">
        <v>-0.84675193090666667</v>
      </c>
      <c r="S580" s="313">
        <v>2.8573412255676969</v>
      </c>
      <c r="T580" s="313">
        <v>2.9507354653526496</v>
      </c>
      <c r="U580" s="313">
        <v>3.5077475259511677</v>
      </c>
      <c r="V580" s="313">
        <v>3.9324575932329875</v>
      </c>
      <c r="W580" s="313">
        <v>4.3974253225027109</v>
      </c>
      <c r="X580" s="313">
        <v>4.5971758603209301</v>
      </c>
      <c r="Y580" s="313">
        <v>4.800452089556341</v>
      </c>
      <c r="Z580" s="313">
        <v>5.0128420148767461</v>
      </c>
      <c r="AA580" s="313">
        <v>5.2395877271546993</v>
      </c>
      <c r="AB580" s="313">
        <v>5.4768617965122743</v>
      </c>
      <c r="AC580" s="313">
        <f>5.72466674686796-1.43285</f>
        <v>4.2918167468679602</v>
      </c>
      <c r="AD580" s="313">
        <f>5.97790499475326-1.60632</f>
        <v>4.3715849947532597</v>
      </c>
      <c r="AE580" s="313">
        <v>6.4675186890871403</v>
      </c>
      <c r="AF580" s="313">
        <v>6.5191232312973897</v>
      </c>
      <c r="AG580" s="313">
        <v>6.812302000551238</v>
      </c>
      <c r="AH580" s="313">
        <v>7.1164329690514077</v>
      </c>
      <c r="AI580" s="313">
        <v>7.2248290192384301</v>
      </c>
      <c r="AJ580" s="313">
        <v>7.3363874920813084</v>
      </c>
      <c r="AK580" s="313">
        <v>7.4512621794287472</v>
      </c>
      <c r="AL580" s="313">
        <v>7.5696790011017825</v>
      </c>
      <c r="AM580" s="313">
        <v>7.5754007400294299</v>
      </c>
      <c r="AN580" s="313">
        <v>7.7500758605948503</v>
      </c>
      <c r="AO580" s="313">
        <v>7.6471355524098996</v>
      </c>
      <c r="AP580" s="313">
        <v>8.1530521401492706</v>
      </c>
      <c r="AQ580" s="313">
        <v>8.2236277032648122</v>
      </c>
      <c r="AR580" s="314">
        <v>8.3688428838750344</v>
      </c>
    </row>
    <row r="581" spans="1:44" x14ac:dyDescent="0.2">
      <c r="A581" s="283"/>
      <c r="B581" s="291">
        <v>5</v>
      </c>
      <c r="C581" s="283" t="s">
        <v>228</v>
      </c>
      <c r="D581" s="292" t="s">
        <v>221</v>
      </c>
      <c r="E581" s="283"/>
      <c r="F581" s="283"/>
      <c r="G581" s="178">
        <v>0</v>
      </c>
      <c r="H581" s="312">
        <v>0</v>
      </c>
      <c r="I581" s="312">
        <v>0</v>
      </c>
      <c r="J581" s="312">
        <v>0</v>
      </c>
      <c r="K581" s="312">
        <v>-2.2204460492503131E-16</v>
      </c>
      <c r="L581" s="312">
        <v>0</v>
      </c>
      <c r="M581" s="312">
        <v>2.7595874932837994E-2</v>
      </c>
      <c r="N581" s="313">
        <v>1.2396107727554697</v>
      </c>
      <c r="O581" s="313">
        <v>1.3181691143661194</v>
      </c>
      <c r="P581" s="313">
        <v>1.3982667600818006</v>
      </c>
      <c r="Q581" s="313">
        <v>1.2146003460149517</v>
      </c>
      <c r="R581" s="313">
        <v>1.063893986571478</v>
      </c>
      <c r="S581" s="313">
        <v>1.4115953931998266</v>
      </c>
      <c r="T581" s="313">
        <v>1.980340591301883</v>
      </c>
      <c r="U581" s="313">
        <v>2.6962249795570101</v>
      </c>
      <c r="V581" s="313">
        <v>3.1174179823794179</v>
      </c>
      <c r="W581" s="313">
        <v>3.2804482025626132</v>
      </c>
      <c r="X581" s="313">
        <v>3.3584090458535285</v>
      </c>
      <c r="Y581" s="313">
        <v>3.430968470723966</v>
      </c>
      <c r="Z581" s="313">
        <v>3.5047826461110021</v>
      </c>
      <c r="AA581" s="313">
        <v>3.5798911104928277</v>
      </c>
      <c r="AB581" s="313">
        <v>3.6536255343519524</v>
      </c>
      <c r="AC581" s="313">
        <f>5.62365963393539-1.43285</f>
        <v>4.1908096339353902</v>
      </c>
      <c r="AD581" s="313">
        <f>5.6948492782234-1.60632</f>
        <v>4.0885292782234002</v>
      </c>
      <c r="AE581" s="313">
        <v>5.7682403925722996</v>
      </c>
      <c r="AF581" s="313">
        <v>5.9800030687895802</v>
      </c>
      <c r="AG581" s="313">
        <v>5.9190090001007603</v>
      </c>
      <c r="AH581" s="313">
        <v>5.9965132944238704</v>
      </c>
      <c r="AI581" s="313">
        <v>6.0754628961607224</v>
      </c>
      <c r="AJ581" s="313">
        <v>6.1559914966848996</v>
      </c>
      <c r="AK581" s="313">
        <v>6.23818025899104</v>
      </c>
      <c r="AL581" s="313">
        <v>6.3201001102233301</v>
      </c>
      <c r="AM581" s="313">
        <v>6.5251440293522096</v>
      </c>
      <c r="AN581" s="313">
        <v>6.5785106248365297</v>
      </c>
      <c r="AO581" s="313">
        <v>6.6845599064403203</v>
      </c>
      <c r="AP581" s="313">
        <v>6.6759863710762097</v>
      </c>
      <c r="AQ581" s="313">
        <v>6.7699128267602022</v>
      </c>
      <c r="AR581" s="314">
        <v>6.865939063401588</v>
      </c>
    </row>
    <row r="582" spans="1:44" x14ac:dyDescent="0.2">
      <c r="A582" s="283"/>
      <c r="B582" s="291">
        <v>6</v>
      </c>
      <c r="C582" s="283" t="s">
        <v>229</v>
      </c>
      <c r="D582" s="292" t="s">
        <v>230</v>
      </c>
      <c r="E582" s="283"/>
      <c r="F582" s="283"/>
      <c r="G582" s="178">
        <v>0</v>
      </c>
      <c r="H582" s="312">
        <v>0</v>
      </c>
      <c r="I582" s="312">
        <v>0</v>
      </c>
      <c r="J582" s="312">
        <v>0</v>
      </c>
      <c r="K582" s="312">
        <v>0.16639942321557388</v>
      </c>
      <c r="L582" s="312">
        <v>8.8817841970012523E-16</v>
      </c>
      <c r="M582" s="312">
        <v>1.800827981238851</v>
      </c>
      <c r="N582" s="313">
        <v>2.6138994526260557</v>
      </c>
      <c r="O582" s="313">
        <v>3.0287541143286232</v>
      </c>
      <c r="P582" s="313">
        <v>3.5329275730953302</v>
      </c>
      <c r="Q582" s="313">
        <v>3.9614288063229797</v>
      </c>
      <c r="R582" s="313">
        <v>4.4155518305637731</v>
      </c>
      <c r="S582" s="313">
        <v>9.120815150474602</v>
      </c>
      <c r="T582" s="313">
        <v>9.7848923785138435</v>
      </c>
      <c r="U582" s="313">
        <v>10.561888549443081</v>
      </c>
      <c r="V582" s="313">
        <v>11.409928415966771</v>
      </c>
      <c r="W582" s="313">
        <v>12.302578601923466</v>
      </c>
      <c r="X582" s="313">
        <v>12.860968686000687</v>
      </c>
      <c r="Y582" s="313">
        <v>13.45039432849428</v>
      </c>
      <c r="Z582" s="313">
        <v>14.081419711124264</v>
      </c>
      <c r="AA582" s="313">
        <v>14.761763446080224</v>
      </c>
      <c r="AB582" s="313">
        <v>15.490707421822364</v>
      </c>
      <c r="AC582" s="313">
        <f>16.20325232464-1.43285+0.000006</f>
        <v>14.770408324640002</v>
      </c>
      <c r="AD582" s="313">
        <f>15.3450019878</f>
        <v>15.3450019878</v>
      </c>
      <c r="AE582" s="313">
        <v>3</v>
      </c>
      <c r="AF582" s="313">
        <f>18.3521588454229-7.68</f>
        <v>10.672158845422899</v>
      </c>
      <c r="AG582" s="313">
        <f>18.2669353344512-8.0832</f>
        <v>10.183735334451201</v>
      </c>
      <c r="AH582" s="313">
        <f>18.3838095390502-8.4933</f>
        <v>9.8905095390502016</v>
      </c>
      <c r="AI582" s="313">
        <f>18.499281563979-8.809</f>
        <v>9.690281563979001</v>
      </c>
      <c r="AJ582" s="313">
        <f>18.6168196023776-9.1309</f>
        <v>9.4859196023775993</v>
      </c>
      <c r="AK582" s="313">
        <f>18.7364964012136-9.4593</f>
        <v>9.2771964012135992</v>
      </c>
      <c r="AL582" s="313">
        <f>18.8581009007443-9.7944</f>
        <v>9.0637009007443012</v>
      </c>
      <c r="AM582" s="313">
        <f>18.9788584976526-10.136</f>
        <v>8.8428584976525997</v>
      </c>
      <c r="AN582" s="313">
        <f>19.145773497435-10.4857</f>
        <v>8.6600734974349987</v>
      </c>
      <c r="AO582" s="313">
        <f>19.6588576296305-10.8417</f>
        <v>8.8171576296305005</v>
      </c>
      <c r="AP582" s="313">
        <f>19.374954197785-11.2075</f>
        <v>8.1674541977850019</v>
      </c>
      <c r="AQ582" s="313">
        <f>19.4946215096798-11.5833</f>
        <v>7.9113215096797997</v>
      </c>
      <c r="AR582" s="314">
        <f>19.6297043410612-11.9557</f>
        <v>7.6740043410611989</v>
      </c>
    </row>
    <row r="583" spans="1:44" x14ac:dyDescent="0.2">
      <c r="A583" s="283"/>
      <c r="B583" s="291">
        <v>7</v>
      </c>
      <c r="C583" s="283" t="s">
        <v>231</v>
      </c>
      <c r="D583" s="292" t="s">
        <v>225</v>
      </c>
      <c r="E583" s="283"/>
      <c r="F583" s="283"/>
      <c r="G583" s="178">
        <v>0</v>
      </c>
      <c r="H583" s="312">
        <v>0</v>
      </c>
      <c r="I583" s="312">
        <v>0</v>
      </c>
      <c r="J583" s="312">
        <v>0</v>
      </c>
      <c r="K583" s="312">
        <v>-0.66001972474476889</v>
      </c>
      <c r="L583" s="312">
        <v>-0.33983264234515698</v>
      </c>
      <c r="M583" s="312">
        <v>-0.3346972020090575</v>
      </c>
      <c r="N583" s="313">
        <v>-0.30974846097282582</v>
      </c>
      <c r="O583" s="313">
        <v>-0.29020118612801582</v>
      </c>
      <c r="P583" s="313">
        <v>-0.26911394349809536</v>
      </c>
      <c r="Q583" s="313">
        <v>-0.23646934620581694</v>
      </c>
      <c r="R583" s="313">
        <v>-0.20272286399533157</v>
      </c>
      <c r="S583" s="313">
        <v>-0.13859571256017378</v>
      </c>
      <c r="T583" s="313">
        <v>-7.1478757475394561E-2</v>
      </c>
      <c r="U583" s="313">
        <v>-1.0643155664254333E-2</v>
      </c>
      <c r="V583" s="313">
        <v>5.2702687321035224E-2</v>
      </c>
      <c r="W583" s="313">
        <v>0.11912390201710044</v>
      </c>
      <c r="X583" s="313">
        <v>0.17561461922849086</v>
      </c>
      <c r="Y583" s="313">
        <v>0.19679837551282708</v>
      </c>
      <c r="Z583" s="313">
        <v>0.21833464867658403</v>
      </c>
      <c r="AA583" s="313">
        <v>0.24023221244703419</v>
      </c>
      <c r="AB583" s="313">
        <v>0.26250026798260695</v>
      </c>
      <c r="AC583" s="313">
        <f>1.72314752948341-1.43285</f>
        <v>0.29029752948341003</v>
      </c>
      <c r="AD583" s="313">
        <v>1.75078901930106</v>
      </c>
      <c r="AE583" s="313">
        <v>3.5345646999999998</v>
      </c>
      <c r="AF583" s="313">
        <v>1.6012852329868601</v>
      </c>
      <c r="AG583" s="313">
        <v>1.8012654717651233</v>
      </c>
      <c r="AH583" s="313">
        <v>1.8215622942295029</v>
      </c>
      <c r="AI583" s="313">
        <v>1.8435451925031527</v>
      </c>
      <c r="AJ583" s="313">
        <v>1.86572389002634</v>
      </c>
      <c r="AK583" s="313">
        <v>1.8881875843605413</v>
      </c>
      <c r="AL583" s="313">
        <v>1.952756997034</v>
      </c>
      <c r="AM583" s="313">
        <v>1.9362153129681969</v>
      </c>
      <c r="AN583" s="313">
        <v>1.9607979574051737</v>
      </c>
      <c r="AO583" s="313">
        <v>1.9858148432108562</v>
      </c>
      <c r="AP583" s="313">
        <v>2.0112833395480303</v>
      </c>
      <c r="AQ583" s="313">
        <v>2.0372220714628098</v>
      </c>
      <c r="AR583" s="314">
        <v>2.0636510251090843</v>
      </c>
    </row>
    <row r="584" spans="1:44" ht="17" thickBot="1" x14ac:dyDescent="0.25">
      <c r="A584" s="283"/>
      <c r="B584" s="291">
        <v>8</v>
      </c>
      <c r="C584" s="283" t="s">
        <v>232</v>
      </c>
      <c r="D584" s="292" t="s">
        <v>233</v>
      </c>
      <c r="E584" s="283"/>
      <c r="F584" s="283"/>
      <c r="G584" s="178">
        <v>0</v>
      </c>
      <c r="H584" s="312">
        <v>0</v>
      </c>
      <c r="I584" s="312">
        <v>0</v>
      </c>
      <c r="J584" s="312">
        <v>0</v>
      </c>
      <c r="K584" s="312">
        <v>-0.70696986301369868</v>
      </c>
      <c r="L584" s="312">
        <v>-1.2752857142857135</v>
      </c>
      <c r="M584" s="312">
        <v>-0.74785176454484592</v>
      </c>
      <c r="N584" s="313">
        <v>18.519437821367649</v>
      </c>
      <c r="O584" s="313">
        <v>18.888598206278584</v>
      </c>
      <c r="P584" s="313">
        <v>19.264929216860615</v>
      </c>
      <c r="Q584" s="313">
        <v>14.817697602693574</v>
      </c>
      <c r="R584" s="313">
        <v>11.102196604138204</v>
      </c>
      <c r="S584" s="313">
        <v>18.327973648990302</v>
      </c>
      <c r="T584" s="313">
        <v>15.57538598507475</v>
      </c>
      <c r="U584" s="313">
        <v>15.764363107603913</v>
      </c>
      <c r="V584" s="313">
        <v>15.956695099853768</v>
      </c>
      <c r="W584" s="313">
        <v>16.152471853372727</v>
      </c>
      <c r="X584" s="313">
        <v>16.350148723775085</v>
      </c>
      <c r="Y584" s="313">
        <v>16.534510596459857</v>
      </c>
      <c r="Z584" s="313">
        <v>16.722056302404255</v>
      </c>
      <c r="AA584" s="313">
        <v>16.912882423135077</v>
      </c>
      <c r="AB584" s="313">
        <v>17.107091170385342</v>
      </c>
      <c r="AC584" s="313">
        <f>16.2216130942747-1.43285</f>
        <v>14.788763094274701</v>
      </c>
      <c r="AD584" s="313">
        <f>16.3938279345303-1.60632-1.60632</f>
        <v>13.1811879345303</v>
      </c>
      <c r="AE584" s="313">
        <v>15</v>
      </c>
      <c r="AF584" s="313">
        <f>16.7478038245326-7.68</f>
        <v>9.0678038245326</v>
      </c>
      <c r="AG584" s="313">
        <f>16.9298316857504-8.0832</f>
        <v>8.8466316857504008</v>
      </c>
      <c r="AH584" s="313">
        <f>17.1153947904719-8.4933</f>
        <v>8.6220947904719001</v>
      </c>
      <c r="AI584" s="313">
        <f>17.3046387217491-8.809</f>
        <v>8.495638721749101</v>
      </c>
      <c r="AJ584" s="313">
        <f>17.4977192639994-9.1309</f>
        <v>8.3668192639993997</v>
      </c>
      <c r="AK584" s="313">
        <f>17.694803240848-9.4593</f>
        <v>8.2355032408479989</v>
      </c>
      <c r="AL584" s="313">
        <f>17.8960694242521-9.7944</f>
        <v>8.1016694242521012</v>
      </c>
      <c r="AM584" s="313">
        <f>18.1017095210228-10.136</f>
        <v>7.9657095210228022</v>
      </c>
      <c r="AN584" s="313">
        <f>18.3119292433854-10.4857</f>
        <v>7.8262292433854004</v>
      </c>
      <c r="AO584" s="313">
        <f>18.5269494707925-10.8417</f>
        <v>7.685249470792499</v>
      </c>
      <c r="AP584" s="313">
        <f>18.7470075108221-11.2075</f>
        <v>7.5395075108221015</v>
      </c>
      <c r="AQ584" s="313">
        <f>18.9723584676702-11.5833</f>
        <v>7.3890584676702016</v>
      </c>
      <c r="AR584" s="314">
        <f>19.1813490758407-11.9557</f>
        <v>7.2256490758406997</v>
      </c>
    </row>
    <row r="585" spans="1:44" ht="25" thickBot="1" x14ac:dyDescent="0.35">
      <c r="A585" s="341"/>
      <c r="B585" s="342"/>
      <c r="C585" s="343" t="s">
        <v>298</v>
      </c>
      <c r="D585" s="343"/>
      <c r="E585" s="343"/>
      <c r="F585" s="343"/>
      <c r="G585" s="344">
        <v>0</v>
      </c>
      <c r="H585" s="344">
        <v>0</v>
      </c>
      <c r="I585" s="344">
        <v>0</v>
      </c>
      <c r="J585" s="344">
        <v>0</v>
      </c>
      <c r="K585" s="344">
        <v>-3.5884394796113859</v>
      </c>
      <c r="L585" s="345">
        <v>-3.8352214323549223</v>
      </c>
      <c r="M585" s="344">
        <v>-1.3388483198307009</v>
      </c>
      <c r="N585" s="343">
        <v>23.875588691649469</v>
      </c>
      <c r="O585" s="343">
        <v>25.055095336582273</v>
      </c>
      <c r="P585" s="343">
        <v>26.340542988311629</v>
      </c>
      <c r="Q585" s="343">
        <v>18.883394269864336</v>
      </c>
      <c r="R585" s="343">
        <v>13.723696262059672</v>
      </c>
      <c r="S585" s="343">
        <v>30.026791064203692</v>
      </c>
      <c r="T585" s="343">
        <v>28.018747160905406</v>
      </c>
      <c r="U585" s="343">
        <v>30.649059389330716</v>
      </c>
      <c r="V585" s="343">
        <v>32.945270674753516</v>
      </c>
      <c r="W585" s="343">
        <v>35.09149237930697</v>
      </c>
      <c r="X585" s="343">
        <v>36.464391133225909</v>
      </c>
      <c r="Y585" s="343">
        <v>37.757670919542605</v>
      </c>
      <c r="Z585" s="343">
        <v>39.050373425611212</v>
      </c>
      <c r="AA585" s="343">
        <v>40.376593191199333</v>
      </c>
      <c r="AB585" s="346">
        <v>41.760398190462197</v>
      </c>
      <c r="AC585" s="347">
        <v>55.312794008172048</v>
      </c>
      <c r="AD585" s="343">
        <v>56.700553357454837</v>
      </c>
      <c r="AE585" s="343">
        <v>58.166652099145445</v>
      </c>
      <c r="AF585" s="343">
        <v>59.215110050624922</v>
      </c>
      <c r="AG585" s="343">
        <v>60.016378639732025</v>
      </c>
      <c r="AH585" s="343">
        <v>60.836570842081748</v>
      </c>
      <c r="AI585" s="343">
        <v>61.46801516460873</v>
      </c>
      <c r="AJ585" s="343">
        <v>62.11175600080125</v>
      </c>
      <c r="AK585" s="343">
        <v>62.768571992588612</v>
      </c>
      <c r="AL585" s="343">
        <v>63.438769940144049</v>
      </c>
      <c r="AM585" s="343">
        <v>64.121958789627328</v>
      </c>
      <c r="AN585" s="343">
        <v>64.821467724971143</v>
      </c>
      <c r="AO585" s="343">
        <v>65.533411049609214</v>
      </c>
      <c r="AP585" s="343">
        <v>66.265026782072198</v>
      </c>
      <c r="AQ585" s="343">
        <v>67.016587798606693</v>
      </c>
      <c r="AR585" s="348">
        <v>67.761369624893888</v>
      </c>
    </row>
    <row r="586" spans="1:44" x14ac:dyDescent="0.2">
      <c r="A586" s="172"/>
      <c r="B586" s="171"/>
      <c r="C586" s="172" t="s">
        <v>299</v>
      </c>
      <c r="D586" s="173"/>
      <c r="E586" s="172"/>
      <c r="F586" s="172"/>
      <c r="G586" s="171"/>
      <c r="H586" s="171"/>
      <c r="I586" s="171"/>
      <c r="J586" s="171"/>
      <c r="K586" s="171"/>
      <c r="L586" s="349"/>
      <c r="M586" s="172"/>
      <c r="N586" s="249">
        <v>8714589.872452056</v>
      </c>
      <c r="O586" s="249">
        <v>9145109.7978525311</v>
      </c>
      <c r="P586" s="249">
        <v>9614298.1907337457</v>
      </c>
      <c r="Q586" s="249">
        <v>6892438.9085004823</v>
      </c>
      <c r="R586" s="249">
        <v>5009149.1356517803</v>
      </c>
      <c r="S586" s="249">
        <v>10959778.738434348</v>
      </c>
      <c r="T586" s="249">
        <v>10226842.713730473</v>
      </c>
      <c r="U586" s="249">
        <v>11186906.677105712</v>
      </c>
      <c r="V586" s="249">
        <v>12025023.796285033</v>
      </c>
      <c r="W586" s="249">
        <v>12808394.718447043</v>
      </c>
      <c r="X586" s="249">
        <v>13309502.763627457</v>
      </c>
      <c r="Y586" s="249">
        <v>13781549.885633051</v>
      </c>
      <c r="Z586" s="249">
        <v>14253386.300348094</v>
      </c>
      <c r="AA586" s="249">
        <v>14737456.514787756</v>
      </c>
      <c r="AB586" s="249">
        <v>15242545.339518702</v>
      </c>
      <c r="AC586" s="249">
        <v>20189169.812982798</v>
      </c>
      <c r="AD586" s="249">
        <v>20695701.975471016</v>
      </c>
      <c r="AE586" s="249">
        <v>21230828.016188085</v>
      </c>
      <c r="AF586" s="249">
        <v>21613515.168478098</v>
      </c>
      <c r="AG586" s="249">
        <v>21905978.203502189</v>
      </c>
      <c r="AH586" s="249">
        <v>22205348.357359838</v>
      </c>
      <c r="AI586" s="249">
        <v>22435825.535082184</v>
      </c>
      <c r="AJ586" s="249">
        <v>22670790.940292455</v>
      </c>
      <c r="AK586" s="249">
        <v>22910528.777294844</v>
      </c>
      <c r="AL586" s="249">
        <v>23155151.028152578</v>
      </c>
      <c r="AM586" s="249">
        <v>23404514.958213974</v>
      </c>
      <c r="AN586" s="249">
        <v>23659835.719614469</v>
      </c>
      <c r="AO586" s="249">
        <v>23919695.033107363</v>
      </c>
      <c r="AP586" s="249">
        <v>24186734.775456354</v>
      </c>
      <c r="AQ586" s="249">
        <v>24461054.546491444</v>
      </c>
      <c r="AR586" s="249">
        <v>24732899.913086269</v>
      </c>
    </row>
    <row r="587" spans="1:44" ht="25" thickBot="1" x14ac:dyDescent="0.35">
      <c r="B587" s="350"/>
      <c r="C587" s="351" t="s">
        <v>300</v>
      </c>
      <c r="D587" s="351"/>
      <c r="E587" s="351"/>
      <c r="F587" s="351"/>
      <c r="G587" s="350"/>
      <c r="H587" s="350"/>
      <c r="I587" s="350"/>
      <c r="J587" s="350"/>
      <c r="K587" s="352">
        <v>-4.9104961299945291</v>
      </c>
      <c r="L587" s="352">
        <v>-5.2481977495383152</v>
      </c>
      <c r="M587" s="352">
        <v>-1.8321082271367486</v>
      </c>
      <c r="N587" s="352">
        <v>32.67185820962559</v>
      </c>
      <c r="O587" s="352">
        <v>34.285919934270481</v>
      </c>
      <c r="P587" s="352">
        <v>36.044953562952756</v>
      </c>
      <c r="Q587" s="352">
        <v>25.840434264024882</v>
      </c>
      <c r="R587" s="352">
        <v>18.779794884923763</v>
      </c>
      <c r="S587" s="352">
        <v>41.089293035226106</v>
      </c>
      <c r="T587" s="352">
        <v>38.341443483344243</v>
      </c>
      <c r="U587" s="352">
        <v>41.940818111715721</v>
      </c>
      <c r="V587" s="352">
        <v>45.083001975978497</v>
      </c>
      <c r="W587" s="352">
        <v>48.01993694010428</v>
      </c>
      <c r="X587" s="352">
        <v>49.898640498098615</v>
      </c>
      <c r="Y587" s="352">
        <v>51.668391784637251</v>
      </c>
      <c r="Z587" s="352">
        <v>53.437353108731138</v>
      </c>
      <c r="AA587" s="352">
        <v>55.252180156378039</v>
      </c>
      <c r="AB587" s="353">
        <v>57.145808050106169</v>
      </c>
      <c r="AC587" s="354">
        <v>75.691191800656497</v>
      </c>
      <c r="AD587" s="352">
        <v>77.590230910201356</v>
      </c>
      <c r="AE587" s="352">
        <v>79.596471293567447</v>
      </c>
      <c r="AF587" s="352">
        <v>81.031203227170948</v>
      </c>
      <c r="AG587" s="352">
        <v>82.127676033317513</v>
      </c>
      <c r="AH587" s="352">
        <v>83.250044310217135</v>
      </c>
      <c r="AI587" s="352">
        <v>84.114126014727745</v>
      </c>
      <c r="AJ587" s="352">
        <v>84.995034527412244</v>
      </c>
      <c r="AK587" s="352">
        <v>85.893835358279162</v>
      </c>
      <c r="AL587" s="352">
        <v>86.810948339144488</v>
      </c>
      <c r="AM587" s="352">
        <v>87.745838343700569</v>
      </c>
      <c r="AN587" s="352">
        <v>88.703061097328941</v>
      </c>
      <c r="AO587" s="352">
        <v>89.677299331044196</v>
      </c>
      <c r="AP587" s="352">
        <v>90.678457701783017</v>
      </c>
      <c r="AQ587" s="352">
        <v>91.706909619146003</v>
      </c>
      <c r="AR587" s="352">
        <v>92.726084749854792</v>
      </c>
    </row>
    <row r="588" spans="1:44" s="355" customFormat="1" ht="19" x14ac:dyDescent="0.25">
      <c r="B588" s="356"/>
      <c r="C588" s="357" t="s">
        <v>301</v>
      </c>
      <c r="G588" s="356"/>
      <c r="H588" s="356"/>
      <c r="I588" s="356"/>
      <c r="J588" s="356"/>
      <c r="K588" s="356"/>
      <c r="L588" s="358"/>
      <c r="W588" s="357"/>
      <c r="AC588" s="355">
        <v>43.85</v>
      </c>
      <c r="AD588" s="355">
        <v>43.85</v>
      </c>
      <c r="AE588" s="355">
        <f>AD588</f>
        <v>43.85</v>
      </c>
      <c r="AF588" s="355">
        <f t="shared" ref="AF588:AR588" si="0">AE588</f>
        <v>43.85</v>
      </c>
      <c r="AG588" s="355">
        <f t="shared" si="0"/>
        <v>43.85</v>
      </c>
      <c r="AH588" s="355">
        <f t="shared" si="0"/>
        <v>43.85</v>
      </c>
      <c r="AI588" s="355">
        <f t="shared" si="0"/>
        <v>43.85</v>
      </c>
      <c r="AJ588" s="355">
        <f t="shared" si="0"/>
        <v>43.85</v>
      </c>
      <c r="AK588" s="355">
        <f t="shared" si="0"/>
        <v>43.85</v>
      </c>
      <c r="AL588" s="355">
        <f t="shared" si="0"/>
        <v>43.85</v>
      </c>
      <c r="AM588" s="355">
        <f t="shared" si="0"/>
        <v>43.85</v>
      </c>
      <c r="AN588" s="355">
        <f t="shared" si="0"/>
        <v>43.85</v>
      </c>
      <c r="AO588" s="355">
        <f t="shared" si="0"/>
        <v>43.85</v>
      </c>
      <c r="AP588" s="355">
        <f t="shared" si="0"/>
        <v>43.85</v>
      </c>
      <c r="AQ588" s="355">
        <f t="shared" si="0"/>
        <v>43.85</v>
      </c>
      <c r="AR588" s="355">
        <f t="shared" si="0"/>
        <v>43.85</v>
      </c>
    </row>
    <row r="589" spans="1:44" ht="21" x14ac:dyDescent="0.25">
      <c r="C589" s="359" t="s">
        <v>302</v>
      </c>
      <c r="S589" s="209" t="s">
        <v>135</v>
      </c>
      <c r="Z589" s="209" t="s">
        <v>135</v>
      </c>
      <c r="AC589" s="209" t="s">
        <v>135</v>
      </c>
    </row>
    <row r="590" spans="1:44" x14ac:dyDescent="0.2">
      <c r="AC590" s="209">
        <f>AC585-AC588</f>
        <v>11.462794008172047</v>
      </c>
      <c r="AD590" s="209">
        <f t="shared" ref="AD590:AR590" si="1">AD585-AD588</f>
        <v>12.850553357454835</v>
      </c>
      <c r="AE590" s="209">
        <f t="shared" si="1"/>
        <v>14.316652099145443</v>
      </c>
      <c r="AF590" s="209">
        <f t="shared" si="1"/>
        <v>15.365110050624921</v>
      </c>
      <c r="AG590" s="209">
        <f t="shared" si="1"/>
        <v>16.166378639732024</v>
      </c>
      <c r="AH590" s="209">
        <f t="shared" si="1"/>
        <v>16.986570842081747</v>
      </c>
      <c r="AI590" s="209">
        <f t="shared" si="1"/>
        <v>17.618015164608728</v>
      </c>
      <c r="AJ590" s="209">
        <f t="shared" si="1"/>
        <v>18.261756000801249</v>
      </c>
      <c r="AK590" s="209">
        <f t="shared" si="1"/>
        <v>18.91857199258861</v>
      </c>
      <c r="AL590" s="209">
        <f t="shared" si="1"/>
        <v>19.588769940144047</v>
      </c>
      <c r="AM590" s="209">
        <f t="shared" si="1"/>
        <v>20.271958789627327</v>
      </c>
      <c r="AN590" s="209">
        <f t="shared" si="1"/>
        <v>20.971467724971141</v>
      </c>
      <c r="AO590" s="209">
        <f t="shared" si="1"/>
        <v>21.683411049609212</v>
      </c>
      <c r="AP590" s="209">
        <f t="shared" si="1"/>
        <v>22.415026782072196</v>
      </c>
      <c r="AQ590" s="209">
        <f t="shared" si="1"/>
        <v>23.166587798606692</v>
      </c>
      <c r="AR590" s="209">
        <f t="shared" si="1"/>
        <v>23.911369624893887</v>
      </c>
    </row>
    <row r="591" spans="1:44" x14ac:dyDescent="0.2">
      <c r="AC591" s="360">
        <f>AC590/8</f>
        <v>1.4328492510215058</v>
      </c>
      <c r="AD591" s="360">
        <f t="shared" ref="AD591:AR591" si="2">AD590/8</f>
        <v>1.6063191696818544</v>
      </c>
      <c r="AE591" s="360">
        <f t="shared" si="2"/>
        <v>1.7895815123931804</v>
      </c>
      <c r="AF591" s="360">
        <f t="shared" si="2"/>
        <v>1.9206387563281151</v>
      </c>
      <c r="AG591" s="360">
        <f t="shared" si="2"/>
        <v>2.020797329966503</v>
      </c>
      <c r="AH591" s="360">
        <f t="shared" si="2"/>
        <v>2.1233213552602184</v>
      </c>
      <c r="AI591" s="360">
        <f t="shared" si="2"/>
        <v>2.202251895576091</v>
      </c>
      <c r="AJ591" s="360">
        <f t="shared" si="2"/>
        <v>2.2827195001001561</v>
      </c>
      <c r="AK591" s="360">
        <f t="shared" si="2"/>
        <v>2.3648214990735763</v>
      </c>
      <c r="AL591" s="360">
        <f t="shared" si="2"/>
        <v>2.4485962425180059</v>
      </c>
      <c r="AM591" s="360">
        <f t="shared" si="2"/>
        <v>2.5339948487034158</v>
      </c>
      <c r="AN591" s="360">
        <f t="shared" si="2"/>
        <v>2.6214334656213927</v>
      </c>
      <c r="AO591" s="360">
        <f t="shared" si="2"/>
        <v>2.7104263812011515</v>
      </c>
      <c r="AP591" s="360">
        <f t="shared" si="2"/>
        <v>2.8018783477590246</v>
      </c>
      <c r="AQ591" s="360">
        <f t="shared" si="2"/>
        <v>2.8958234748258365</v>
      </c>
      <c r="AR591" s="360">
        <f t="shared" si="2"/>
        <v>2.9889212031117358</v>
      </c>
    </row>
    <row r="592" spans="1:44" x14ac:dyDescent="0.2">
      <c r="AE592" s="361">
        <f>AE591*4</f>
        <v>7.1583260495727217</v>
      </c>
      <c r="AF592" s="209">
        <f>AF591*4</f>
        <v>7.6825550253124604</v>
      </c>
      <c r="AG592" s="362">
        <f>AG591*4</f>
        <v>8.0831893198660119</v>
      </c>
      <c r="AH592" s="362">
        <f>AH591*4</f>
        <v>8.4932854210408735</v>
      </c>
      <c r="AI592" s="362">
        <f>AI591*4</f>
        <v>8.8090075823043641</v>
      </c>
      <c r="AJ592" s="362">
        <f t="shared" ref="AJ592:AR592" si="3">AJ591*4</f>
        <v>9.1308780004006245</v>
      </c>
      <c r="AK592" s="362">
        <f t="shared" si="3"/>
        <v>9.4592859962943052</v>
      </c>
      <c r="AL592" s="362">
        <f t="shared" si="3"/>
        <v>9.7943849700720236</v>
      </c>
      <c r="AM592" s="362">
        <f t="shared" si="3"/>
        <v>10.135979394813663</v>
      </c>
      <c r="AN592" s="362">
        <f t="shared" si="3"/>
        <v>10.485733862485571</v>
      </c>
      <c r="AO592" s="362">
        <f t="shared" si="3"/>
        <v>10.841705524804606</v>
      </c>
      <c r="AP592" s="362">
        <f t="shared" si="3"/>
        <v>11.207513391036098</v>
      </c>
      <c r="AQ592" s="362">
        <f t="shared" si="3"/>
        <v>11.583293899303346</v>
      </c>
      <c r="AR592" s="362">
        <f t="shared" si="3"/>
        <v>11.955684812446943</v>
      </c>
    </row>
    <row r="593" spans="29:29" x14ac:dyDescent="0.2">
      <c r="AC593" s="209" t="s">
        <v>135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7728-A13D-1F43-8AA6-5016DCAC0A25}">
  <sheetPr>
    <tabColor theme="9" tint="0.39997558519241921"/>
  </sheetPr>
  <dimension ref="A1:AH98"/>
  <sheetViews>
    <sheetView topLeftCell="A63" workbookViewId="0">
      <selection activeCell="H77" sqref="H77"/>
    </sheetView>
  </sheetViews>
  <sheetFormatPr baseColWidth="10" defaultColWidth="8.83203125" defaultRowHeight="16" x14ac:dyDescent="0.2"/>
  <cols>
    <col min="1" max="1" width="8.83203125" style="4"/>
    <col min="2" max="2" width="30.1640625" style="4" customWidth="1"/>
    <col min="3" max="3" width="34.83203125" style="4" bestFit="1" customWidth="1"/>
    <col min="4" max="4" width="16.33203125" style="4" bestFit="1" customWidth="1"/>
    <col min="5" max="5" width="16.6640625" style="4" customWidth="1"/>
    <col min="6" max="6" width="16.33203125" style="4" bestFit="1" customWidth="1"/>
    <col min="7" max="8" width="18.5" style="4" bestFit="1" customWidth="1"/>
    <col min="9" max="11" width="16.83203125" style="4" bestFit="1" customWidth="1"/>
    <col min="12" max="33" width="18.1640625" style="4" bestFit="1" customWidth="1"/>
    <col min="34" max="16384" width="8.83203125" style="4"/>
  </cols>
  <sheetData>
    <row r="1" spans="2:33" x14ac:dyDescent="0.2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spans="2:33" x14ac:dyDescent="0.2">
      <c r="B2" s="5"/>
      <c r="C2" s="6"/>
      <c r="D2" s="7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7" t="s">
        <v>13</v>
      </c>
      <c r="Q2" s="7" t="s">
        <v>14</v>
      </c>
      <c r="R2" s="7" t="s">
        <v>15</v>
      </c>
      <c r="S2" s="7" t="s">
        <v>16</v>
      </c>
      <c r="T2" s="7" t="s">
        <v>17</v>
      </c>
      <c r="U2" s="7" t="s">
        <v>18</v>
      </c>
      <c r="V2" s="7" t="s">
        <v>19</v>
      </c>
      <c r="W2" s="7" t="s">
        <v>20</v>
      </c>
      <c r="X2" s="7" t="s">
        <v>21</v>
      </c>
      <c r="Y2" s="7" t="s">
        <v>22</v>
      </c>
      <c r="Z2" s="7" t="s">
        <v>23</v>
      </c>
      <c r="AA2" s="7" t="s">
        <v>24</v>
      </c>
      <c r="AB2" s="7" t="s">
        <v>25</v>
      </c>
      <c r="AC2" s="7" t="s">
        <v>26</v>
      </c>
      <c r="AD2" s="7" t="s">
        <v>27</v>
      </c>
      <c r="AE2" s="7" t="s">
        <v>28</v>
      </c>
      <c r="AF2" s="7" t="s">
        <v>29</v>
      </c>
      <c r="AG2" s="8" t="s">
        <v>30</v>
      </c>
    </row>
    <row r="3" spans="2:33" x14ac:dyDescent="0.2">
      <c r="B3" s="409" t="s">
        <v>31</v>
      </c>
      <c r="C3" s="410"/>
      <c r="D3" s="9">
        <f>SUM(D4:D12)</f>
        <v>0</v>
      </c>
      <c r="E3" s="9">
        <f t="shared" ref="E3:AG3" si="0">SUM(E4:E12)</f>
        <v>0</v>
      </c>
      <c r="F3" s="9">
        <f t="shared" si="0"/>
        <v>4411400</v>
      </c>
      <c r="G3" s="9">
        <f t="shared" si="0"/>
        <v>6617100</v>
      </c>
      <c r="H3" s="9">
        <f t="shared" si="0"/>
        <v>0</v>
      </c>
      <c r="I3" s="9">
        <f t="shared" si="0"/>
        <v>0</v>
      </c>
      <c r="J3" s="9">
        <f t="shared" si="0"/>
        <v>0</v>
      </c>
      <c r="K3" s="9">
        <f t="shared" si="0"/>
        <v>0</v>
      </c>
      <c r="L3" s="9">
        <f t="shared" si="0"/>
        <v>0</v>
      </c>
      <c r="M3" s="9">
        <f>SUM(M4:M12)</f>
        <v>4200000</v>
      </c>
      <c r="N3" s="9">
        <f t="shared" si="0"/>
        <v>0</v>
      </c>
      <c r="O3" s="9">
        <f t="shared" si="0"/>
        <v>0</v>
      </c>
      <c r="P3" s="9">
        <f t="shared" si="0"/>
        <v>0</v>
      </c>
      <c r="Q3" s="9">
        <f t="shared" si="0"/>
        <v>0</v>
      </c>
      <c r="R3" s="9">
        <f t="shared" si="0"/>
        <v>0</v>
      </c>
      <c r="S3" s="9">
        <f t="shared" si="0"/>
        <v>0</v>
      </c>
      <c r="T3" s="9">
        <f t="shared" si="0"/>
        <v>0</v>
      </c>
      <c r="U3" s="9">
        <f t="shared" si="0"/>
        <v>0</v>
      </c>
      <c r="V3" s="9">
        <f t="shared" si="0"/>
        <v>0</v>
      </c>
      <c r="W3" s="9">
        <f t="shared" si="0"/>
        <v>0</v>
      </c>
      <c r="X3" s="9">
        <f t="shared" si="0"/>
        <v>0</v>
      </c>
      <c r="Y3" s="9">
        <f t="shared" si="0"/>
        <v>0</v>
      </c>
      <c r="Z3" s="9">
        <f t="shared" si="0"/>
        <v>0</v>
      </c>
      <c r="AA3" s="9">
        <f t="shared" si="0"/>
        <v>0</v>
      </c>
      <c r="AB3" s="9">
        <f t="shared" si="0"/>
        <v>0</v>
      </c>
      <c r="AC3" s="9">
        <f t="shared" si="0"/>
        <v>0</v>
      </c>
      <c r="AD3" s="9">
        <f t="shared" si="0"/>
        <v>0</v>
      </c>
      <c r="AE3" s="9">
        <f t="shared" si="0"/>
        <v>0</v>
      </c>
      <c r="AF3" s="9">
        <f t="shared" si="0"/>
        <v>0</v>
      </c>
      <c r="AG3" s="9">
        <f t="shared" si="0"/>
        <v>0</v>
      </c>
    </row>
    <row r="4" spans="2:33" x14ac:dyDescent="0.2">
      <c r="B4" s="10">
        <v>1</v>
      </c>
      <c r="C4" s="6" t="s">
        <v>32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2"/>
    </row>
    <row r="5" spans="2:33" x14ac:dyDescent="0.2">
      <c r="B5" s="10">
        <v>2</v>
      </c>
      <c r="C5" s="6" t="s">
        <v>33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2"/>
    </row>
    <row r="6" spans="2:33" x14ac:dyDescent="0.2">
      <c r="B6" s="10">
        <v>3</v>
      </c>
      <c r="C6" s="6" t="s">
        <v>34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2"/>
    </row>
    <row r="7" spans="2:33" x14ac:dyDescent="0.2">
      <c r="B7" s="10">
        <v>4</v>
      </c>
      <c r="C7" s="6" t="s">
        <v>35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2"/>
    </row>
    <row r="8" spans="2:33" x14ac:dyDescent="0.2">
      <c r="B8" s="13">
        <v>4.0999999999999996</v>
      </c>
      <c r="C8" s="14" t="s">
        <v>36</v>
      </c>
      <c r="D8" s="11"/>
      <c r="E8" s="11"/>
      <c r="F8" s="11">
        <f>'[42]CAPEX dist Tagbilaran'!$G$29*0.4</f>
        <v>4411400</v>
      </c>
      <c r="G8" s="11">
        <f>'[42]CAPEX dist Tagbilaran'!$G$29*0.6</f>
        <v>6617100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2"/>
    </row>
    <row r="9" spans="2:33" x14ac:dyDescent="0.2">
      <c r="B9" s="13">
        <v>4.2</v>
      </c>
      <c r="C9" s="14" t="s">
        <v>37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2"/>
    </row>
    <row r="10" spans="2:33" x14ac:dyDescent="0.2">
      <c r="B10" s="10">
        <v>5</v>
      </c>
      <c r="C10" s="6" t="s">
        <v>38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2"/>
    </row>
    <row r="11" spans="2:33" x14ac:dyDescent="0.2">
      <c r="B11" s="10">
        <v>6</v>
      </c>
      <c r="C11" s="6" t="s">
        <v>39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2"/>
    </row>
    <row r="12" spans="2:33" ht="34" x14ac:dyDescent="0.2">
      <c r="B12" s="13">
        <v>6.1</v>
      </c>
      <c r="C12" s="15" t="s">
        <v>40</v>
      </c>
      <c r="D12" s="11"/>
      <c r="E12" s="11"/>
      <c r="F12" s="11"/>
      <c r="G12" s="11"/>
      <c r="H12" s="11"/>
      <c r="J12" s="11"/>
      <c r="K12" s="11"/>
      <c r="L12" s="11"/>
      <c r="M12" s="16">
        <f>28*0.25*600000</f>
        <v>4200000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spans="2:33" x14ac:dyDescent="0.2">
      <c r="B13" s="17" t="s">
        <v>41</v>
      </c>
      <c r="C13" s="9"/>
      <c r="D13" s="9">
        <f>SUM(D14:D51)</f>
        <v>54332974.141371742</v>
      </c>
      <c r="E13" s="9">
        <f t="shared" ref="E13:AG13" si="1">SUM(E14:E51)</f>
        <v>93140136.270458832</v>
      </c>
      <c r="F13" s="9">
        <f t="shared" si="1"/>
        <v>78341056.590004951</v>
      </c>
      <c r="G13" s="9">
        <f t="shared" si="1"/>
        <v>56634342.397527322</v>
      </c>
      <c r="H13" s="9">
        <f t="shared" si="1"/>
        <v>0</v>
      </c>
      <c r="I13" s="9">
        <f t="shared" si="1"/>
        <v>0</v>
      </c>
      <c r="J13" s="9">
        <f t="shared" si="1"/>
        <v>0</v>
      </c>
      <c r="K13" s="9">
        <f t="shared" si="1"/>
        <v>0</v>
      </c>
      <c r="L13" s="9">
        <f t="shared" si="1"/>
        <v>0</v>
      </c>
      <c r="M13" s="9">
        <f t="shared" si="1"/>
        <v>89036861.657199085</v>
      </c>
      <c r="N13" s="9">
        <f t="shared" si="1"/>
        <v>0</v>
      </c>
      <c r="O13" s="9">
        <f t="shared" si="1"/>
        <v>0</v>
      </c>
      <c r="P13" s="9">
        <f t="shared" si="1"/>
        <v>0</v>
      </c>
      <c r="Q13" s="9">
        <f t="shared" si="1"/>
        <v>0</v>
      </c>
      <c r="R13" s="9">
        <f t="shared" si="1"/>
        <v>0</v>
      </c>
      <c r="S13" s="9">
        <f t="shared" si="1"/>
        <v>0</v>
      </c>
      <c r="T13" s="9">
        <f t="shared" si="1"/>
        <v>0</v>
      </c>
      <c r="U13" s="9">
        <f t="shared" si="1"/>
        <v>0</v>
      </c>
      <c r="V13" s="9">
        <f t="shared" si="1"/>
        <v>0</v>
      </c>
      <c r="W13" s="9">
        <f t="shared" si="1"/>
        <v>0</v>
      </c>
      <c r="X13" s="9">
        <f t="shared" si="1"/>
        <v>0</v>
      </c>
      <c r="Y13" s="9">
        <f t="shared" si="1"/>
        <v>0</v>
      </c>
      <c r="Z13" s="9">
        <f t="shared" si="1"/>
        <v>0</v>
      </c>
      <c r="AA13" s="9">
        <f t="shared" si="1"/>
        <v>0</v>
      </c>
      <c r="AB13" s="9">
        <f t="shared" si="1"/>
        <v>0</v>
      </c>
      <c r="AC13" s="9">
        <f t="shared" si="1"/>
        <v>0</v>
      </c>
      <c r="AD13" s="9">
        <f t="shared" si="1"/>
        <v>0</v>
      </c>
      <c r="AE13" s="9">
        <f t="shared" si="1"/>
        <v>0</v>
      </c>
      <c r="AF13" s="9">
        <f t="shared" si="1"/>
        <v>0</v>
      </c>
      <c r="AG13" s="9">
        <f t="shared" si="1"/>
        <v>0</v>
      </c>
    </row>
    <row r="14" spans="2:33" x14ac:dyDescent="0.2">
      <c r="B14" s="10">
        <v>1</v>
      </c>
      <c r="C14" s="18" t="s">
        <v>42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2"/>
    </row>
    <row r="15" spans="2:33" x14ac:dyDescent="0.2">
      <c r="B15" s="13">
        <v>1.1000000000000001</v>
      </c>
      <c r="C15" s="18" t="s">
        <v>43</v>
      </c>
      <c r="D15" s="11"/>
      <c r="E15" s="11"/>
      <c r="F15" s="11"/>
      <c r="G15" s="19">
        <f>'[43]CAPEX dist Tagbilaran'!O42-6000000</f>
        <v>22267879.271385595</v>
      </c>
      <c r="I15" s="11"/>
      <c r="J15" s="11"/>
      <c r="K15" s="11"/>
      <c r="L15" s="11"/>
      <c r="M15" s="19">
        <v>6000000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2"/>
    </row>
    <row r="16" spans="2:33" x14ac:dyDescent="0.2">
      <c r="B16" s="13">
        <v>1.2</v>
      </c>
      <c r="C16" s="18" t="s">
        <v>44</v>
      </c>
      <c r="D16" s="11"/>
      <c r="E16" s="11"/>
      <c r="F16" s="19">
        <f>'[43]CAPEX dist Tagbilaran'!$O$43*0.4-3000000</f>
        <v>11516745.347522883</v>
      </c>
      <c r="G16" s="19">
        <f>'[43]CAPEX dist Tagbilaran'!$O$43*0.6-6000000</f>
        <v>15775118.021284323</v>
      </c>
      <c r="H16" s="11"/>
      <c r="I16" s="11"/>
      <c r="J16" s="11"/>
      <c r="K16" s="11"/>
      <c r="L16" s="11"/>
      <c r="M16" s="19">
        <v>9000000</v>
      </c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2"/>
    </row>
    <row r="17" spans="2:33" ht="17" x14ac:dyDescent="0.2">
      <c r="B17" s="13">
        <v>1.3</v>
      </c>
      <c r="C17" s="20" t="s">
        <v>45</v>
      </c>
      <c r="D17" s="11"/>
      <c r="E17" s="11">
        <f>'[42]CAPEX dist Tagbilaran'!$G$44*0.3</f>
        <v>16294412.070879728</v>
      </c>
      <c r="F17" s="19">
        <f>'[42]CAPEX dist Tagbilaran'!$G$44*0.5-9000000</f>
        <v>18157353.451466214</v>
      </c>
      <c r="G17" s="11">
        <f>'[42]CAPEX dist Tagbilaran'!$G$44*0.2</f>
        <v>10862941.380586486</v>
      </c>
      <c r="H17" s="11"/>
      <c r="I17" s="11"/>
      <c r="J17" s="11"/>
      <c r="K17" s="11"/>
      <c r="L17" s="11"/>
      <c r="M17" s="19">
        <v>9000000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2"/>
    </row>
    <row r="18" spans="2:33" ht="34" x14ac:dyDescent="0.2">
      <c r="B18" s="13">
        <v>1.4</v>
      </c>
      <c r="C18" s="20" t="s">
        <v>46</v>
      </c>
      <c r="D18" s="11"/>
      <c r="E18" s="11">
        <f>'[42]CAPEX dist Tagbilaran'!$G$45*0.4</f>
        <v>9817404.4197339304</v>
      </c>
      <c r="F18" s="11">
        <f>'[42]CAPEX dist Tagbilaran'!$G$45*0.6</f>
        <v>14726106.629600894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2"/>
    </row>
    <row r="19" spans="2:33" ht="17" x14ac:dyDescent="0.2">
      <c r="B19" s="10">
        <v>2</v>
      </c>
      <c r="C19" s="20" t="s">
        <v>47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2"/>
    </row>
    <row r="20" spans="2:33" ht="17" x14ac:dyDescent="0.2">
      <c r="B20" s="13">
        <v>2.1</v>
      </c>
      <c r="C20" s="20" t="s">
        <v>48</v>
      </c>
      <c r="D20" s="11"/>
      <c r="E20" s="11">
        <f>'[42]CAPEX dist Tagbilaran'!$G$46</f>
        <v>7353388.1921149446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2"/>
    </row>
    <row r="21" spans="2:33" ht="17" x14ac:dyDescent="0.2">
      <c r="B21" s="13" t="s">
        <v>49</v>
      </c>
      <c r="C21" s="20" t="s">
        <v>50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2"/>
    </row>
    <row r="22" spans="2:33" ht="17" x14ac:dyDescent="0.2">
      <c r="B22" s="13"/>
      <c r="C22" s="20" t="s">
        <v>51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2"/>
    </row>
    <row r="23" spans="2:33" ht="17" x14ac:dyDescent="0.2">
      <c r="B23" s="13"/>
      <c r="C23" s="20" t="s">
        <v>52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2"/>
    </row>
    <row r="24" spans="2:33" ht="17" x14ac:dyDescent="0.2">
      <c r="B24" s="13">
        <v>2.2000000000000002</v>
      </c>
      <c r="C24" s="20" t="s">
        <v>53</v>
      </c>
      <c r="D24" s="11">
        <f>'[42]CAPEX dist Tagbilaran'!$G$47*0.3</f>
        <v>14887327.087294577</v>
      </c>
      <c r="E24" s="11">
        <f>'[42]CAPEX dist Tagbilaran'!$G$47*0.4</f>
        <v>19849769.449726101</v>
      </c>
      <c r="F24" s="11">
        <f>'[42]CAPEX dist Tagbilaran'!$G$47*0.3</f>
        <v>14887327.087294577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2"/>
    </row>
    <row r="25" spans="2:33" ht="17" x14ac:dyDescent="0.2">
      <c r="B25" s="13"/>
      <c r="C25" s="20" t="s">
        <v>50</v>
      </c>
      <c r="D25" s="11"/>
      <c r="E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2"/>
    </row>
    <row r="26" spans="2:33" ht="17" x14ac:dyDescent="0.2">
      <c r="B26" s="13"/>
      <c r="C26" s="20" t="s">
        <v>51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2"/>
    </row>
    <row r="27" spans="2:33" ht="17" x14ac:dyDescent="0.2">
      <c r="B27" s="13"/>
      <c r="C27" s="20" t="s">
        <v>52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2"/>
    </row>
    <row r="28" spans="2:33" ht="17" x14ac:dyDescent="0.2">
      <c r="B28" s="13">
        <v>2.2999999999999998</v>
      </c>
      <c r="C28" s="20" t="s">
        <v>54</v>
      </c>
      <c r="D28" s="11">
        <f>'[43]CAPEX dist Tagbilaran'!$H$48*0.4*0.7</f>
        <v>2817651.0544417463</v>
      </c>
      <c r="E28" s="11">
        <f>'[43]CAPEX dist Tagbilaran'!$H$48*0.6*0.7</f>
        <v>4226476.5816626195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2"/>
    </row>
    <row r="29" spans="2:33" ht="17" x14ac:dyDescent="0.2">
      <c r="B29" s="13"/>
      <c r="C29" s="20" t="s">
        <v>50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2"/>
    </row>
    <row r="30" spans="2:33" ht="17" x14ac:dyDescent="0.2">
      <c r="B30" s="13"/>
      <c r="C30" s="20" t="s">
        <v>51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2"/>
    </row>
    <row r="31" spans="2:33" ht="17" x14ac:dyDescent="0.2">
      <c r="B31" s="13"/>
      <c r="C31" s="20" t="s">
        <v>52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2"/>
    </row>
    <row r="32" spans="2:33" ht="17" x14ac:dyDescent="0.2">
      <c r="B32" s="13">
        <v>2.4</v>
      </c>
      <c r="C32" s="20" t="s">
        <v>55</v>
      </c>
      <c r="D32" s="11">
        <f>'[43]CAPEX dist Tagbilaran'!$H$49*0.3*0.6</f>
        <v>8962391.8457570951</v>
      </c>
      <c r="E32" s="11">
        <f>'[43]CAPEX dist Tagbilaran'!$H$49*0.3*0.6</f>
        <v>8962391.8457570951</v>
      </c>
      <c r="F32" s="11">
        <f>'[43]CAPEX dist Tagbilaran'!$H$49*0.3*0.6</f>
        <v>8962391.8457570951</v>
      </c>
      <c r="G32" s="11">
        <f>'[43]CAPEX dist Tagbilaran'!$H$49*0.1*0.6</f>
        <v>2987463.9485856988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2"/>
    </row>
    <row r="33" spans="2:33" ht="17" x14ac:dyDescent="0.2">
      <c r="B33" s="13"/>
      <c r="C33" s="20" t="s">
        <v>50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2"/>
    </row>
    <row r="34" spans="2:33" ht="17" x14ac:dyDescent="0.2">
      <c r="B34" s="13"/>
      <c r="C34" s="20" t="s">
        <v>51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2"/>
    </row>
    <row r="35" spans="2:33" ht="17" x14ac:dyDescent="0.2">
      <c r="B35" s="13"/>
      <c r="C35" s="20" t="s">
        <v>52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2"/>
    </row>
    <row r="36" spans="2:33" ht="17" x14ac:dyDescent="0.2">
      <c r="B36" s="13">
        <v>2.5</v>
      </c>
      <c r="C36" s="20" t="s">
        <v>56</v>
      </c>
      <c r="D36" s="11">
        <f>SUM('[43]CAPEX dist Tagbilaran'!$H$50:$H$51)/4</f>
        <v>1382389.9553975991</v>
      </c>
      <c r="E36" s="11">
        <f>SUM('[43]CAPEX dist Tagbilaran'!$H$50:$H$51)/4</f>
        <v>1382389.9553975991</v>
      </c>
      <c r="F36" s="11">
        <f>SUM('[43]CAPEX dist Tagbilaran'!$H$50:$H$51)/4</f>
        <v>1382389.9553975991</v>
      </c>
      <c r="G36" s="11">
        <f>SUM('[43]CAPEX dist Tagbilaran'!$H$50:$H$51)/4</f>
        <v>1382389.9553975991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2"/>
    </row>
    <row r="37" spans="2:33" ht="17" x14ac:dyDescent="0.2">
      <c r="B37" s="13">
        <v>2.6</v>
      </c>
      <c r="C37" s="20" t="s">
        <v>57</v>
      </c>
      <c r="D37" s="11">
        <f>SUM('[43]CAPEX dist Tagbilaran'!$H$52)*0.3</f>
        <v>4100721.5636914372</v>
      </c>
      <c r="E37" s="11">
        <f>SUM('[43]CAPEX dist Tagbilaran'!$H$52)*0.4</f>
        <v>5467628.751588583</v>
      </c>
      <c r="F37" s="11">
        <f>SUM('[43]CAPEX dist Tagbilaran'!$H$52)*0.2</f>
        <v>2733814.3757942915</v>
      </c>
      <c r="G37" s="11">
        <f>SUM('[43]CAPEX dist Tagbilaran'!$H$52)*0.1</f>
        <v>1366907.1878971457</v>
      </c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2"/>
    </row>
    <row r="38" spans="2:33" ht="17" x14ac:dyDescent="0.2">
      <c r="B38" s="10">
        <v>3</v>
      </c>
      <c r="C38" s="20" t="s">
        <v>58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2"/>
    </row>
    <row r="39" spans="2:33" ht="17" x14ac:dyDescent="0.2">
      <c r="B39" s="13">
        <v>3.1</v>
      </c>
      <c r="C39" s="20" t="s">
        <v>54</v>
      </c>
      <c r="D39" s="11">
        <f>'[43]CAPEX dist Tagbilaran'!$H$48*0.4*0.3</f>
        <v>1207564.7376178913</v>
      </c>
      <c r="E39" s="11">
        <f>'[43]CAPEX dist Tagbilaran'!$H$48*0.6*0.3</f>
        <v>1811347.1064268369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2"/>
    </row>
    <row r="40" spans="2:33" ht="17" x14ac:dyDescent="0.2">
      <c r="B40" s="13"/>
      <c r="C40" s="20" t="s">
        <v>59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2"/>
    </row>
    <row r="41" spans="2:33" ht="17" x14ac:dyDescent="0.2">
      <c r="B41" s="13"/>
      <c r="C41" s="20" t="s">
        <v>60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2"/>
    </row>
    <row r="42" spans="2:33" ht="17" x14ac:dyDescent="0.2">
      <c r="B42" s="13">
        <v>3.2</v>
      </c>
      <c r="C42" s="20" t="s">
        <v>55</v>
      </c>
      <c r="D42" s="11">
        <f>'[43]CAPEX dist Tagbilaran'!$H$49*0.3*0.4</f>
        <v>5974927.8971713968</v>
      </c>
      <c r="E42" s="11">
        <f>'[43]CAPEX dist Tagbilaran'!$H$49*0.3*0.4</f>
        <v>5974927.8971713968</v>
      </c>
      <c r="F42" s="11">
        <f>'[43]CAPEX dist Tagbilaran'!$H$49*0.3*0.4</f>
        <v>5974927.8971713968</v>
      </c>
      <c r="G42" s="11">
        <f>'[43]CAPEX dist Tagbilaran'!$H$49*0.1*0.4</f>
        <v>1991642.6323904661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2"/>
    </row>
    <row r="43" spans="2:33" ht="17" x14ac:dyDescent="0.2">
      <c r="B43" s="13"/>
      <c r="C43" s="20" t="s">
        <v>59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2"/>
    </row>
    <row r="44" spans="2:33" ht="17" x14ac:dyDescent="0.2">
      <c r="B44" s="13"/>
      <c r="C44" s="20" t="s">
        <v>60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2"/>
    </row>
    <row r="45" spans="2:33" x14ac:dyDescent="0.2">
      <c r="B45" s="10">
        <v>4</v>
      </c>
      <c r="C45" s="18" t="s">
        <v>61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2"/>
    </row>
    <row r="46" spans="2:33" x14ac:dyDescent="0.2">
      <c r="B46" s="13">
        <v>4.0999999999999996</v>
      </c>
      <c r="C46" s="14" t="s">
        <v>62</v>
      </c>
      <c r="D46" s="11"/>
      <c r="E46" s="11"/>
      <c r="G46" s="11"/>
      <c r="H46" s="11"/>
      <c r="I46" s="11"/>
      <c r="J46" s="11"/>
      <c r="K46" s="11"/>
      <c r="L46" s="11"/>
      <c r="M46" s="16">
        <f>$C$98</f>
        <v>65036861.657199092</v>
      </c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2"/>
    </row>
    <row r="47" spans="2:33" x14ac:dyDescent="0.2">
      <c r="B47" s="13">
        <v>4.2</v>
      </c>
      <c r="C47" s="14" t="s">
        <v>63</v>
      </c>
      <c r="D47" s="11">
        <f>'[42]CAPEX dist Tagbilaran'!G56</f>
        <v>6000000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2"/>
    </row>
    <row r="48" spans="2:33" x14ac:dyDescent="0.2">
      <c r="B48" s="10">
        <v>5</v>
      </c>
      <c r="C48" s="18" t="s">
        <v>64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2"/>
    </row>
    <row r="49" spans="2:33" x14ac:dyDescent="0.2">
      <c r="B49" s="13">
        <v>5.0999999999999996</v>
      </c>
      <c r="C49" s="18" t="s">
        <v>65</v>
      </c>
      <c r="D49" s="11">
        <f>'[42]CAPEX dist Tagbilaran'!G61</f>
        <v>6000000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21"/>
    </row>
    <row r="50" spans="2:33" x14ac:dyDescent="0.2">
      <c r="B50" s="13">
        <v>5.2</v>
      </c>
      <c r="C50" s="18" t="s">
        <v>66</v>
      </c>
      <c r="D50" s="11"/>
      <c r="E50" s="16">
        <f>(8000/600)*900000</f>
        <v>12000000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21"/>
    </row>
    <row r="51" spans="2:33" x14ac:dyDescent="0.2">
      <c r="B51" s="13">
        <v>5.3</v>
      </c>
      <c r="C51" s="18" t="s">
        <v>67</v>
      </c>
      <c r="D51" s="16">
        <f>3000000</f>
        <v>3000000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21"/>
    </row>
    <row r="52" spans="2:33" x14ac:dyDescent="0.2">
      <c r="B52" s="17" t="s">
        <v>68</v>
      </c>
      <c r="C52" s="9"/>
      <c r="D52" s="9">
        <f>SUM(D53:D58)</f>
        <v>60500036.106636889</v>
      </c>
      <c r="E52" s="9">
        <f t="shared" ref="E52:AG52" si="2">SUM(E53:E58)</f>
        <v>55587536.106636889</v>
      </c>
      <c r="F52" s="9">
        <f t="shared" si="2"/>
        <v>55587536.106636889</v>
      </c>
      <c r="G52" s="9">
        <f t="shared" si="2"/>
        <v>0</v>
      </c>
      <c r="H52" s="9">
        <f t="shared" si="2"/>
        <v>0</v>
      </c>
      <c r="I52" s="9">
        <f t="shared" si="2"/>
        <v>0</v>
      </c>
      <c r="J52" s="9">
        <f t="shared" si="2"/>
        <v>0</v>
      </c>
      <c r="K52" s="9">
        <f t="shared" si="2"/>
        <v>0</v>
      </c>
      <c r="L52" s="9">
        <f t="shared" si="2"/>
        <v>0</v>
      </c>
      <c r="M52" s="9">
        <f>SUM(M53:M58)</f>
        <v>8820000</v>
      </c>
      <c r="N52" s="9">
        <f t="shared" si="2"/>
        <v>0</v>
      </c>
      <c r="O52" s="9">
        <f t="shared" si="2"/>
        <v>0</v>
      </c>
      <c r="P52" s="9">
        <f t="shared" si="2"/>
        <v>0</v>
      </c>
      <c r="Q52" s="9">
        <f t="shared" si="2"/>
        <v>0</v>
      </c>
      <c r="R52" s="9">
        <f t="shared" si="2"/>
        <v>0</v>
      </c>
      <c r="S52" s="9">
        <f t="shared" si="2"/>
        <v>0</v>
      </c>
      <c r="T52" s="9">
        <f t="shared" si="2"/>
        <v>0</v>
      </c>
      <c r="U52" s="9">
        <f t="shared" si="2"/>
        <v>0</v>
      </c>
      <c r="V52" s="9">
        <f t="shared" si="2"/>
        <v>0</v>
      </c>
      <c r="W52" s="9">
        <f t="shared" si="2"/>
        <v>0</v>
      </c>
      <c r="X52" s="9">
        <f t="shared" si="2"/>
        <v>0</v>
      </c>
      <c r="Y52" s="9">
        <f t="shared" si="2"/>
        <v>0</v>
      </c>
      <c r="Z52" s="9">
        <f t="shared" si="2"/>
        <v>0</v>
      </c>
      <c r="AA52" s="9">
        <f t="shared" si="2"/>
        <v>0</v>
      </c>
      <c r="AB52" s="9">
        <f t="shared" si="2"/>
        <v>0</v>
      </c>
      <c r="AC52" s="9">
        <f t="shared" si="2"/>
        <v>0</v>
      </c>
      <c r="AD52" s="9">
        <f t="shared" si="2"/>
        <v>0</v>
      </c>
      <c r="AE52" s="9">
        <f t="shared" si="2"/>
        <v>0</v>
      </c>
      <c r="AF52" s="9">
        <f t="shared" si="2"/>
        <v>0</v>
      </c>
      <c r="AG52" s="9">
        <f t="shared" si="2"/>
        <v>0</v>
      </c>
    </row>
    <row r="53" spans="2:33" x14ac:dyDescent="0.2">
      <c r="B53" s="10">
        <v>1</v>
      </c>
      <c r="C53" s="18" t="s">
        <v>69</v>
      </c>
      <c r="D53" s="11">
        <f>'[42]CAPEX dist Tagbilaran'!$G$70/3</f>
        <v>55587536.106636889</v>
      </c>
      <c r="E53" s="11">
        <f>'[42]CAPEX dist Tagbilaran'!$G$70/3</f>
        <v>55587536.106636889</v>
      </c>
      <c r="F53" s="11">
        <f>'[42]CAPEX dist Tagbilaran'!$G$70/3</f>
        <v>55587536.106636889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2"/>
    </row>
    <row r="54" spans="2:33" ht="17" x14ac:dyDescent="0.2">
      <c r="B54" s="10">
        <v>2</v>
      </c>
      <c r="C54" s="20" t="s">
        <v>70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2"/>
    </row>
    <row r="55" spans="2:33" x14ac:dyDescent="0.2">
      <c r="B55" s="10">
        <v>3</v>
      </c>
      <c r="C55" s="18" t="s">
        <v>71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2"/>
    </row>
    <row r="56" spans="2:33" x14ac:dyDescent="0.2">
      <c r="B56" s="10">
        <v>4</v>
      </c>
      <c r="C56" s="18" t="s">
        <v>72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2"/>
    </row>
    <row r="57" spans="2:33" x14ac:dyDescent="0.2">
      <c r="B57" s="13">
        <v>4.0999999999999996</v>
      </c>
      <c r="C57" s="18" t="s">
        <v>73</v>
      </c>
      <c r="D57" s="11">
        <f>'[42]CAPEX dist Tagbilaran'!G58</f>
        <v>4912500</v>
      </c>
      <c r="E57" s="11"/>
      <c r="F57" s="11"/>
      <c r="G57" s="11"/>
      <c r="H57" s="11"/>
      <c r="I57" s="11"/>
      <c r="J57" s="11"/>
      <c r="K57" s="11"/>
      <c r="L57" s="11"/>
      <c r="M57" s="16">
        <f>D57+'[42]CAPEX dist Tagbilaran'!G32</f>
        <v>5512500</v>
      </c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2"/>
    </row>
    <row r="58" spans="2:33" x14ac:dyDescent="0.2">
      <c r="B58" s="10">
        <v>5</v>
      </c>
      <c r="C58" s="18" t="s">
        <v>74</v>
      </c>
      <c r="D58" s="11"/>
      <c r="E58" s="11"/>
      <c r="F58" s="11"/>
      <c r="G58" s="11"/>
      <c r="H58" s="11"/>
      <c r="I58" s="11"/>
      <c r="J58" s="11"/>
      <c r="K58" s="11"/>
      <c r="L58" s="11"/>
      <c r="M58" s="16">
        <f>M57*0.6</f>
        <v>3307500</v>
      </c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2"/>
    </row>
    <row r="59" spans="2:33" x14ac:dyDescent="0.2">
      <c r="B59" s="17" t="s">
        <v>75</v>
      </c>
      <c r="C59" s="9"/>
      <c r="D59" s="9">
        <f>SUM(D60:D63)</f>
        <v>44018915.412154153</v>
      </c>
      <c r="E59" s="9">
        <f t="shared" ref="E59:AG59" si="3">SUM(E60:E63)</f>
        <v>7948915.4121541567</v>
      </c>
      <c r="F59" s="9">
        <f t="shared" si="3"/>
        <v>7948915.4121541567</v>
      </c>
      <c r="G59" s="9">
        <f t="shared" si="3"/>
        <v>0</v>
      </c>
      <c r="H59" s="9">
        <f t="shared" si="3"/>
        <v>0</v>
      </c>
      <c r="I59" s="9">
        <f t="shared" si="3"/>
        <v>0</v>
      </c>
      <c r="J59" s="9">
        <f t="shared" si="3"/>
        <v>0</v>
      </c>
      <c r="K59" s="9">
        <f t="shared" si="3"/>
        <v>0</v>
      </c>
      <c r="L59" s="9">
        <f t="shared" si="3"/>
        <v>0</v>
      </c>
      <c r="M59" s="9">
        <f t="shared" si="3"/>
        <v>12000000</v>
      </c>
      <c r="N59" s="9">
        <f t="shared" si="3"/>
        <v>0</v>
      </c>
      <c r="O59" s="9">
        <f t="shared" si="3"/>
        <v>0</v>
      </c>
      <c r="P59" s="9">
        <f t="shared" si="3"/>
        <v>0</v>
      </c>
      <c r="Q59" s="9">
        <f t="shared" si="3"/>
        <v>0</v>
      </c>
      <c r="R59" s="9">
        <f t="shared" si="3"/>
        <v>0</v>
      </c>
      <c r="S59" s="9">
        <f t="shared" si="3"/>
        <v>0</v>
      </c>
      <c r="T59" s="9">
        <f t="shared" si="3"/>
        <v>0</v>
      </c>
      <c r="U59" s="9">
        <f t="shared" si="3"/>
        <v>0</v>
      </c>
      <c r="V59" s="9">
        <f t="shared" si="3"/>
        <v>0</v>
      </c>
      <c r="W59" s="9">
        <f t="shared" si="3"/>
        <v>0</v>
      </c>
      <c r="X59" s="9">
        <f t="shared" si="3"/>
        <v>0</v>
      </c>
      <c r="Y59" s="9">
        <f t="shared" si="3"/>
        <v>0</v>
      </c>
      <c r="Z59" s="9">
        <f t="shared" si="3"/>
        <v>0</v>
      </c>
      <c r="AA59" s="9">
        <f t="shared" si="3"/>
        <v>0</v>
      </c>
      <c r="AB59" s="9">
        <f t="shared" si="3"/>
        <v>0</v>
      </c>
      <c r="AC59" s="9">
        <f t="shared" si="3"/>
        <v>0</v>
      </c>
      <c r="AD59" s="9">
        <f t="shared" si="3"/>
        <v>0</v>
      </c>
      <c r="AE59" s="9">
        <f t="shared" si="3"/>
        <v>0</v>
      </c>
      <c r="AF59" s="9">
        <f t="shared" si="3"/>
        <v>0</v>
      </c>
      <c r="AG59" s="9">
        <f t="shared" si="3"/>
        <v>0</v>
      </c>
    </row>
    <row r="60" spans="2:33" x14ac:dyDescent="0.2">
      <c r="B60" s="10">
        <v>1</v>
      </c>
      <c r="C60" s="18" t="s">
        <v>76</v>
      </c>
      <c r="D60" s="11">
        <f>'[42]CAPEX dist Tagbilaran'!G66</f>
        <v>27000000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2"/>
    </row>
    <row r="61" spans="2:33" x14ac:dyDescent="0.2">
      <c r="B61" s="10">
        <v>2</v>
      </c>
      <c r="C61" s="18" t="s">
        <v>77</v>
      </c>
      <c r="D61" s="11">
        <f>'[42]CAPEX dist Tagbilaran'!G68</f>
        <v>4070000</v>
      </c>
      <c r="E61" s="11"/>
      <c r="F61" s="11"/>
      <c r="G61" s="11"/>
      <c r="H61" s="11"/>
      <c r="J61" s="11"/>
      <c r="K61" s="11"/>
      <c r="L61" s="11"/>
      <c r="M61" s="16">
        <f>12000000</f>
        <v>12000000</v>
      </c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2"/>
    </row>
    <row r="62" spans="2:33" x14ac:dyDescent="0.2">
      <c r="B62" s="10">
        <v>3</v>
      </c>
      <c r="C62" s="18" t="s">
        <v>78</v>
      </c>
      <c r="D62" s="11">
        <f>'[42]CAPEX dist Tagbilaran'!G14</f>
        <v>5000000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2"/>
    </row>
    <row r="63" spans="2:33" x14ac:dyDescent="0.2">
      <c r="B63" s="10">
        <v>4</v>
      </c>
      <c r="C63" s="18" t="s">
        <v>79</v>
      </c>
      <c r="D63" s="11">
        <f>'[42]CAPEX dist Tagbilaran'!$G$90/3</f>
        <v>7948915.4121541567</v>
      </c>
      <c r="E63" s="11">
        <f>'[42]CAPEX dist Tagbilaran'!$G$90/3</f>
        <v>7948915.4121541567</v>
      </c>
      <c r="F63" s="11">
        <f>'[42]CAPEX dist Tagbilaran'!$G$90/3</f>
        <v>7948915.4121541567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2"/>
    </row>
    <row r="64" spans="2:33" x14ac:dyDescent="0.2">
      <c r="B64" s="17" t="s">
        <v>80</v>
      </c>
      <c r="C64" s="9"/>
      <c r="D64" s="9">
        <f t="shared" ref="D64:AG64" si="4">D65</f>
        <v>6278956.1997974161</v>
      </c>
      <c r="E64" s="9">
        <f t="shared" si="4"/>
        <v>6278956.1997974161</v>
      </c>
      <c r="F64" s="9">
        <f t="shared" si="4"/>
        <v>6278956.1997974161</v>
      </c>
      <c r="G64" s="9">
        <f t="shared" si="4"/>
        <v>6278956.1997974161</v>
      </c>
      <c r="H64" s="9">
        <f t="shared" si="4"/>
        <v>0</v>
      </c>
      <c r="I64" s="9">
        <f t="shared" si="4"/>
        <v>0</v>
      </c>
      <c r="J64" s="9">
        <f t="shared" si="4"/>
        <v>0</v>
      </c>
      <c r="K64" s="9">
        <f t="shared" si="4"/>
        <v>0</v>
      </c>
      <c r="L64" s="9">
        <f t="shared" si="4"/>
        <v>0</v>
      </c>
      <c r="M64" s="9">
        <f t="shared" si="4"/>
        <v>0</v>
      </c>
      <c r="N64" s="9">
        <f t="shared" si="4"/>
        <v>0</v>
      </c>
      <c r="O64" s="9">
        <f t="shared" si="4"/>
        <v>0</v>
      </c>
      <c r="P64" s="9">
        <f t="shared" si="4"/>
        <v>0</v>
      </c>
      <c r="Q64" s="9">
        <f t="shared" si="4"/>
        <v>0</v>
      </c>
      <c r="R64" s="9">
        <f t="shared" si="4"/>
        <v>0</v>
      </c>
      <c r="S64" s="9">
        <f t="shared" si="4"/>
        <v>0</v>
      </c>
      <c r="T64" s="9">
        <f t="shared" si="4"/>
        <v>0</v>
      </c>
      <c r="U64" s="9">
        <f t="shared" si="4"/>
        <v>0</v>
      </c>
      <c r="V64" s="9">
        <f t="shared" si="4"/>
        <v>0</v>
      </c>
      <c r="W64" s="9">
        <f t="shared" si="4"/>
        <v>0</v>
      </c>
      <c r="X64" s="9">
        <f t="shared" si="4"/>
        <v>0</v>
      </c>
      <c r="Y64" s="9">
        <f t="shared" si="4"/>
        <v>0</v>
      </c>
      <c r="Z64" s="9">
        <f t="shared" si="4"/>
        <v>0</v>
      </c>
      <c r="AA64" s="9">
        <f t="shared" si="4"/>
        <v>0</v>
      </c>
      <c r="AB64" s="9">
        <f t="shared" si="4"/>
        <v>0</v>
      </c>
      <c r="AC64" s="9">
        <f t="shared" si="4"/>
        <v>0</v>
      </c>
      <c r="AD64" s="9">
        <f t="shared" si="4"/>
        <v>0</v>
      </c>
      <c r="AE64" s="9">
        <f t="shared" si="4"/>
        <v>0</v>
      </c>
      <c r="AF64" s="9">
        <f t="shared" si="4"/>
        <v>0</v>
      </c>
      <c r="AG64" s="22">
        <f t="shared" si="4"/>
        <v>0</v>
      </c>
    </row>
    <row r="65" spans="2:34" x14ac:dyDescent="0.2">
      <c r="B65" s="23"/>
      <c r="C65" s="18"/>
      <c r="D65" s="11">
        <f>'[42]CAPEX dist Tagbilaran'!$G$92/4</f>
        <v>6278956.1997974161</v>
      </c>
      <c r="E65" s="11">
        <f>'[42]CAPEX dist Tagbilaran'!$G$92/4</f>
        <v>6278956.1997974161</v>
      </c>
      <c r="F65" s="11">
        <f>'[42]CAPEX dist Tagbilaran'!$G$92/4</f>
        <v>6278956.1997974161</v>
      </c>
      <c r="G65" s="11">
        <f>'[42]CAPEX dist Tagbilaran'!$G$92/4</f>
        <v>6278956.1997974161</v>
      </c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2"/>
    </row>
    <row r="66" spans="2:34" x14ac:dyDescent="0.2">
      <c r="B66" s="17" t="s">
        <v>81</v>
      </c>
      <c r="C66" s="9"/>
      <c r="D66" s="9">
        <f t="shared" ref="D66:G66" si="5">SUM(D67)</f>
        <v>0</v>
      </c>
      <c r="E66" s="9">
        <f t="shared" si="5"/>
        <v>0</v>
      </c>
      <c r="F66" s="9">
        <f t="shared" si="5"/>
        <v>0</v>
      </c>
      <c r="G66" s="9">
        <f t="shared" si="5"/>
        <v>25115824.799189664</v>
      </c>
      <c r="H66" s="9">
        <f>SUM(H67)</f>
        <v>0</v>
      </c>
      <c r="I66" s="9">
        <f t="shared" ref="I66:AG66" si="6">SUM(I67)</f>
        <v>0</v>
      </c>
      <c r="J66" s="9">
        <f t="shared" si="6"/>
        <v>0</v>
      </c>
      <c r="K66" s="9">
        <f t="shared" si="6"/>
        <v>0</v>
      </c>
      <c r="L66" s="9">
        <f t="shared" si="6"/>
        <v>0</v>
      </c>
      <c r="M66" s="9">
        <f t="shared" si="6"/>
        <v>0</v>
      </c>
      <c r="N66" s="9">
        <f t="shared" si="6"/>
        <v>0</v>
      </c>
      <c r="O66" s="9">
        <f t="shared" si="6"/>
        <v>0</v>
      </c>
      <c r="P66" s="9">
        <f t="shared" si="6"/>
        <v>0</v>
      </c>
      <c r="Q66" s="9">
        <f t="shared" si="6"/>
        <v>0</v>
      </c>
      <c r="R66" s="9">
        <f t="shared" si="6"/>
        <v>0</v>
      </c>
      <c r="S66" s="9">
        <f t="shared" si="6"/>
        <v>0</v>
      </c>
      <c r="T66" s="9">
        <f t="shared" si="6"/>
        <v>0</v>
      </c>
      <c r="U66" s="9">
        <f t="shared" si="6"/>
        <v>0</v>
      </c>
      <c r="V66" s="9">
        <f t="shared" si="6"/>
        <v>0</v>
      </c>
      <c r="W66" s="9">
        <f t="shared" si="6"/>
        <v>0</v>
      </c>
      <c r="X66" s="9">
        <f t="shared" si="6"/>
        <v>0</v>
      </c>
      <c r="Y66" s="9">
        <f t="shared" si="6"/>
        <v>0</v>
      </c>
      <c r="Z66" s="9">
        <f t="shared" si="6"/>
        <v>0</v>
      </c>
      <c r="AA66" s="9">
        <f t="shared" si="6"/>
        <v>0</v>
      </c>
      <c r="AB66" s="9">
        <f t="shared" si="6"/>
        <v>0</v>
      </c>
      <c r="AC66" s="9">
        <f t="shared" si="6"/>
        <v>0</v>
      </c>
      <c r="AD66" s="9">
        <f t="shared" si="6"/>
        <v>0</v>
      </c>
      <c r="AE66" s="9">
        <f t="shared" si="6"/>
        <v>0</v>
      </c>
      <c r="AF66" s="9">
        <f t="shared" si="6"/>
        <v>0</v>
      </c>
      <c r="AG66" s="9">
        <f t="shared" si="6"/>
        <v>0</v>
      </c>
    </row>
    <row r="67" spans="2:34" x14ac:dyDescent="0.2">
      <c r="B67" s="23"/>
      <c r="C67" s="18" t="s">
        <v>82</v>
      </c>
      <c r="D67" s="11"/>
      <c r="E67" s="11"/>
      <c r="F67" s="11"/>
      <c r="G67" s="11">
        <f>'[42]CAPEX dist Tagbilaran'!G93</f>
        <v>25115824.799189664</v>
      </c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2"/>
    </row>
    <row r="68" spans="2:34" x14ac:dyDescent="0.2">
      <c r="B68" s="17" t="s">
        <v>83</v>
      </c>
      <c r="C68" s="9"/>
      <c r="D68" s="9">
        <f>'[42]CAPEX dist Tagbilaran'!G94</f>
        <v>3942285.4448275836</v>
      </c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22"/>
    </row>
    <row r="69" spans="2:34" x14ac:dyDescent="0.2">
      <c r="B69" s="5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24"/>
    </row>
    <row r="70" spans="2:34" ht="17" thickBot="1" x14ac:dyDescent="0.25">
      <c r="B70" s="25" t="s">
        <v>84</v>
      </c>
      <c r="C70" s="26"/>
      <c r="D70" s="27">
        <f t="shared" ref="D70:AG70" si="7">D3+D13+D52+D59+D64+D66+D68</f>
        <v>169073167.30478781</v>
      </c>
      <c r="E70" s="27">
        <f t="shared" si="7"/>
        <v>162955543.98904732</v>
      </c>
      <c r="F70" s="27">
        <f>F3+F13+F52+F59+F64+F66+F68</f>
        <v>152567864.30859342</v>
      </c>
      <c r="G70" s="27">
        <f>G3+G13+G52+G59+G64+G66+G68</f>
        <v>94646223.396514416</v>
      </c>
      <c r="H70" s="27">
        <f>H3+H13+H52+H59+H64+H66+H68</f>
        <v>0</v>
      </c>
      <c r="I70" s="27">
        <f t="shared" si="7"/>
        <v>0</v>
      </c>
      <c r="J70" s="27">
        <f t="shared" si="7"/>
        <v>0</v>
      </c>
      <c r="K70" s="27">
        <f t="shared" si="7"/>
        <v>0</v>
      </c>
      <c r="L70" s="27">
        <f t="shared" si="7"/>
        <v>0</v>
      </c>
      <c r="M70" s="27">
        <f t="shared" si="7"/>
        <v>114056861.65719908</v>
      </c>
      <c r="N70" s="27">
        <f t="shared" si="7"/>
        <v>0</v>
      </c>
      <c r="O70" s="27">
        <f t="shared" si="7"/>
        <v>0</v>
      </c>
      <c r="P70" s="27">
        <f t="shared" si="7"/>
        <v>0</v>
      </c>
      <c r="Q70" s="27">
        <f t="shared" si="7"/>
        <v>0</v>
      </c>
      <c r="R70" s="27">
        <f t="shared" si="7"/>
        <v>0</v>
      </c>
      <c r="S70" s="27">
        <f t="shared" si="7"/>
        <v>0</v>
      </c>
      <c r="T70" s="27">
        <f t="shared" si="7"/>
        <v>0</v>
      </c>
      <c r="U70" s="27">
        <f t="shared" si="7"/>
        <v>0</v>
      </c>
      <c r="V70" s="27">
        <f t="shared" si="7"/>
        <v>0</v>
      </c>
      <c r="W70" s="27">
        <f t="shared" si="7"/>
        <v>0</v>
      </c>
      <c r="X70" s="27">
        <f t="shared" si="7"/>
        <v>0</v>
      </c>
      <c r="Y70" s="27">
        <f t="shared" si="7"/>
        <v>0</v>
      </c>
      <c r="Z70" s="27">
        <f t="shared" si="7"/>
        <v>0</v>
      </c>
      <c r="AA70" s="27">
        <f t="shared" si="7"/>
        <v>0</v>
      </c>
      <c r="AB70" s="27">
        <f t="shared" si="7"/>
        <v>0</v>
      </c>
      <c r="AC70" s="27">
        <f t="shared" si="7"/>
        <v>0</v>
      </c>
      <c r="AD70" s="27">
        <f t="shared" si="7"/>
        <v>0</v>
      </c>
      <c r="AE70" s="27">
        <f t="shared" si="7"/>
        <v>0</v>
      </c>
      <c r="AF70" s="27">
        <f t="shared" si="7"/>
        <v>0</v>
      </c>
      <c r="AG70" s="28">
        <f t="shared" si="7"/>
        <v>0</v>
      </c>
    </row>
    <row r="71" spans="2:34" x14ac:dyDescent="0.2">
      <c r="B71" s="29" t="s">
        <v>85</v>
      </c>
      <c r="C71" s="30">
        <f>SUM(D70:G70)</f>
        <v>579242798.99894297</v>
      </c>
    </row>
    <row r="72" spans="2:34" x14ac:dyDescent="0.2">
      <c r="B72" s="29" t="s">
        <v>86</v>
      </c>
      <c r="C72" s="31">
        <f>NPV(11%,D70:AG70)</f>
        <v>498648306.62251103</v>
      </c>
    </row>
    <row r="73" spans="2:34" x14ac:dyDescent="0.2">
      <c r="B73" s="29" t="s">
        <v>87</v>
      </c>
      <c r="C73" s="32">
        <f>(C71-'[43]CAPEX dist Tagbilaran'!H95)/'Tagbilaran CAPEX&amp;OPEX_realistic'!C71</f>
        <v>3.9279500774569494E-2</v>
      </c>
      <c r="D73" s="4" t="s">
        <v>88</v>
      </c>
    </row>
    <row r="74" spans="2:34" x14ac:dyDescent="0.2">
      <c r="B74" s="29"/>
      <c r="C74" s="33"/>
    </row>
    <row r="75" spans="2:34" x14ac:dyDescent="0.2">
      <c r="B75" s="4" t="s">
        <v>89</v>
      </c>
      <c r="H75" s="34">
        <f>([44]Tagbilaran!S590*1000000/1000)*365</f>
        <v>6689710.3818814615</v>
      </c>
      <c r="I75" s="34">
        <f>([44]Tagbilaran!T590*1000000/1000)*365</f>
        <v>5685015.8845522832</v>
      </c>
      <c r="J75" s="34">
        <f>([44]Tagbilaran!U590*1000000/1000)*365</f>
        <v>5753992.5342754284</v>
      </c>
      <c r="K75" s="34">
        <f>([44]Tagbilaran!V590*1000000/1000)*365</f>
        <v>5824193.7114466252</v>
      </c>
      <c r="L75" s="34">
        <f>([44]Tagbilaran!W590*1000000/1000)*365</f>
        <v>5895652.2264810456</v>
      </c>
      <c r="M75" s="34">
        <f>([44]Tagbilaran!X590*1000000/1000)*365</f>
        <v>5967804.2841779059</v>
      </c>
      <c r="N75" s="34">
        <f>([44]Tagbilaran!Y590*1000000/1000)*365</f>
        <v>6035096.3677078467</v>
      </c>
      <c r="O75" s="34">
        <f>([44]Tagbilaran!Z590*1000000/1000)*365</f>
        <v>6103550.5503775524</v>
      </c>
      <c r="P75" s="34">
        <f>([44]Tagbilaran!AA590*1000000/1000)*365</f>
        <v>6173202.0844443031</v>
      </c>
      <c r="Q75" s="34">
        <f>([44]Tagbilaran!AB590*1000000/1000)*365</f>
        <v>6244088.2771906499</v>
      </c>
      <c r="R75" s="34">
        <f>([44]Tagbilaran!AC590*1000000/1000)*365</f>
        <v>5920888.7794102672</v>
      </c>
      <c r="S75" s="34">
        <f>([44]Tagbilaran!AD590*1000000/1000)*365</f>
        <v>5983743.5461035725</v>
      </c>
      <c r="T75" s="34">
        <f>([44]Tagbilaran!AE590*1000000/1000)*365</f>
        <v>6047748.8943224736</v>
      </c>
      <c r="U75" s="34">
        <f>([44]Tagbilaran!AF590*1000000/1000)*365</f>
        <v>6112948.3959544003</v>
      </c>
      <c r="V75" s="34">
        <f>([44]Tagbilaran!AG590*1000000/1000)*365</f>
        <v>6179388.5652988972</v>
      </c>
      <c r="W75" s="34">
        <f>([44]Tagbilaran!AH590*1000000/1000)*365</f>
        <v>6247119.0985222366</v>
      </c>
      <c r="X75" s="34">
        <f>([44]Tagbilaran!AI590*1000000/1000)*365</f>
        <v>6316193.1334384372</v>
      </c>
      <c r="Y75" s="34">
        <f>([44]Tagbilaran!AJ590*1000000/1000)*365</f>
        <v>6386667.5313597955</v>
      </c>
      <c r="Z75" s="34">
        <f>([44]Tagbilaran!AK590*1000000/1000)*365</f>
        <v>6458603.1829095054</v>
      </c>
      <c r="AA75" s="34">
        <f>([44]Tagbilaran!AL590*1000000/1000)*365</f>
        <v>6532065.3398519997</v>
      </c>
      <c r="AB75" s="34">
        <f>([44]Tagbilaran!AM590*1000000/1000)*365</f>
        <v>6607123.9751733085</v>
      </c>
      <c r="AC75" s="34">
        <f>([44]Tagbilaran!AN590*1000000/1000)*365</f>
        <v>6683854.1738356836</v>
      </c>
      <c r="AD75" s="34">
        <f>([44]Tagbilaran!AO590*1000000/1000)*365</f>
        <v>6762336.5568392482</v>
      </c>
      <c r="AE75" s="34">
        <f>([44]Tagbilaran!AP590*1000000/1000)*365</f>
        <v>6842657.7414500741</v>
      </c>
      <c r="AF75" s="34">
        <f>([44]Tagbilaran!AQ590*1000000/1000)*365</f>
        <v>6924910.8406996252</v>
      </c>
      <c r="AG75" s="34">
        <f>([44]Tagbilaran!AR590*1000000/1000)*365</f>
        <v>7001192.4126818553</v>
      </c>
    </row>
    <row r="76" spans="2:34" x14ac:dyDescent="0.2">
      <c r="B76" s="35" t="s">
        <v>90</v>
      </c>
      <c r="C76" s="36" t="s">
        <v>91</v>
      </c>
      <c r="D76" s="36" t="str">
        <f t="shared" ref="D76:AG76" si="8">D2</f>
        <v>Year 1</v>
      </c>
      <c r="E76" s="36" t="str">
        <f t="shared" si="8"/>
        <v>Year 2</v>
      </c>
      <c r="F76" s="36" t="str">
        <f t="shared" si="8"/>
        <v>Year 3</v>
      </c>
      <c r="G76" s="36" t="str">
        <f t="shared" si="8"/>
        <v>Year 4</v>
      </c>
      <c r="H76" s="36" t="str">
        <f t="shared" si="8"/>
        <v>Year 5</v>
      </c>
      <c r="I76" s="36" t="str">
        <f t="shared" si="8"/>
        <v>Year 6</v>
      </c>
      <c r="J76" s="36" t="str">
        <f t="shared" si="8"/>
        <v>Year 7</v>
      </c>
      <c r="K76" s="36" t="str">
        <f t="shared" si="8"/>
        <v>Year 8</v>
      </c>
      <c r="L76" s="36" t="str">
        <f t="shared" si="8"/>
        <v>Year 9</v>
      </c>
      <c r="M76" s="36" t="str">
        <f t="shared" si="8"/>
        <v>Year 10</v>
      </c>
      <c r="N76" s="36" t="str">
        <f t="shared" si="8"/>
        <v>Year 11</v>
      </c>
      <c r="O76" s="36" t="str">
        <f t="shared" si="8"/>
        <v>Year 12</v>
      </c>
      <c r="P76" s="36" t="str">
        <f t="shared" si="8"/>
        <v>Year 13</v>
      </c>
      <c r="Q76" s="36" t="str">
        <f t="shared" si="8"/>
        <v>Year 14</v>
      </c>
      <c r="R76" s="36" t="str">
        <f t="shared" si="8"/>
        <v>Year 15</v>
      </c>
      <c r="S76" s="36" t="str">
        <f t="shared" si="8"/>
        <v>Year 16</v>
      </c>
      <c r="T76" s="36" t="str">
        <f t="shared" si="8"/>
        <v>Year 17</v>
      </c>
      <c r="U76" s="36" t="str">
        <f t="shared" si="8"/>
        <v>Year 18</v>
      </c>
      <c r="V76" s="36" t="str">
        <f t="shared" si="8"/>
        <v>Year 19</v>
      </c>
      <c r="W76" s="36" t="str">
        <f t="shared" si="8"/>
        <v>Year 20</v>
      </c>
      <c r="X76" s="36" t="str">
        <f t="shared" si="8"/>
        <v>Year 21</v>
      </c>
      <c r="Y76" s="36" t="str">
        <f t="shared" si="8"/>
        <v>Year 22</v>
      </c>
      <c r="Z76" s="36" t="str">
        <f t="shared" si="8"/>
        <v>Year 23</v>
      </c>
      <c r="AA76" s="36" t="str">
        <f t="shared" si="8"/>
        <v>Year 24</v>
      </c>
      <c r="AB76" s="36" t="str">
        <f t="shared" si="8"/>
        <v>Year 25</v>
      </c>
      <c r="AC76" s="36" t="str">
        <f t="shared" si="8"/>
        <v>Year 26</v>
      </c>
      <c r="AD76" s="36" t="str">
        <f t="shared" si="8"/>
        <v>Year 27</v>
      </c>
      <c r="AE76" s="36" t="str">
        <f t="shared" si="8"/>
        <v>Year 28</v>
      </c>
      <c r="AF76" s="36" t="str">
        <f t="shared" si="8"/>
        <v>Year 29</v>
      </c>
      <c r="AG76" s="36" t="str">
        <f t="shared" si="8"/>
        <v>Year 30</v>
      </c>
    </row>
    <row r="77" spans="2:34" x14ac:dyDescent="0.2">
      <c r="B77" s="37" t="s">
        <v>92</v>
      </c>
      <c r="C77" s="6">
        <v>10.3</v>
      </c>
      <c r="D77" s="38">
        <f>$C77*D75</f>
        <v>0</v>
      </c>
      <c r="E77" s="38">
        <f t="shared" ref="E77:AG77" si="9">$C77*E75</f>
        <v>0</v>
      </c>
      <c r="F77" s="38">
        <f t="shared" si="9"/>
        <v>0</v>
      </c>
      <c r="G77" s="38">
        <f t="shared" si="9"/>
        <v>0</v>
      </c>
      <c r="H77" s="38">
        <f t="shared" si="9"/>
        <v>68904016.933379054</v>
      </c>
      <c r="I77" s="38">
        <f t="shared" si="9"/>
        <v>58555663.610888518</v>
      </c>
      <c r="J77" s="38">
        <f t="shared" si="9"/>
        <v>59266123.103036918</v>
      </c>
      <c r="K77" s="38">
        <f t="shared" si="9"/>
        <v>59989195.227900244</v>
      </c>
      <c r="L77" s="38">
        <f t="shared" si="9"/>
        <v>60725217.932754777</v>
      </c>
      <c r="M77" s="38">
        <f t="shared" si="9"/>
        <v>61468384.127032436</v>
      </c>
      <c r="N77" s="38">
        <f t="shared" si="9"/>
        <v>62161492.587390825</v>
      </c>
      <c r="O77" s="38">
        <f t="shared" si="9"/>
        <v>62866570.668888792</v>
      </c>
      <c r="P77" s="38">
        <f t="shared" si="9"/>
        <v>63583981.469776325</v>
      </c>
      <c r="Q77" s="38">
        <f t="shared" si="9"/>
        <v>64314109.255063698</v>
      </c>
      <c r="R77" s="38">
        <f t="shared" si="9"/>
        <v>60985154.427925758</v>
      </c>
      <c r="S77" s="38">
        <f t="shared" si="9"/>
        <v>61632558.524866797</v>
      </c>
      <c r="T77" s="38">
        <f t="shared" si="9"/>
        <v>62291813.611521482</v>
      </c>
      <c r="U77" s="38">
        <f t="shared" si="9"/>
        <v>62963368.478330329</v>
      </c>
      <c r="V77" s="38">
        <f t="shared" si="9"/>
        <v>63647702.222578645</v>
      </c>
      <c r="W77" s="38">
        <f t="shared" si="9"/>
        <v>64345326.714779042</v>
      </c>
      <c r="X77" s="38">
        <f t="shared" si="9"/>
        <v>65056789.27441591</v>
      </c>
      <c r="Y77" s="38">
        <f t="shared" si="9"/>
        <v>65782675.5730059</v>
      </c>
      <c r="Z77" s="38">
        <f t="shared" si="9"/>
        <v>66523612.783967912</v>
      </c>
      <c r="AA77" s="38">
        <f t="shared" si="9"/>
        <v>67280273.0004756</v>
      </c>
      <c r="AB77" s="38">
        <f t="shared" si="9"/>
        <v>68053376.94428508</v>
      </c>
      <c r="AC77" s="38">
        <f t="shared" si="9"/>
        <v>68843697.990507543</v>
      </c>
      <c r="AD77" s="38">
        <f t="shared" si="9"/>
        <v>69652066.53544426</v>
      </c>
      <c r="AE77" s="38">
        <f t="shared" si="9"/>
        <v>70479374.736935765</v>
      </c>
      <c r="AF77" s="38">
        <f t="shared" si="9"/>
        <v>71326581.659206137</v>
      </c>
      <c r="AG77" s="38">
        <f t="shared" si="9"/>
        <v>72112281.850623116</v>
      </c>
    </row>
    <row r="78" spans="2:34" x14ac:dyDescent="0.2">
      <c r="B78" s="37" t="s">
        <v>93</v>
      </c>
      <c r="C78" s="6">
        <v>0.4</v>
      </c>
      <c r="D78" s="38">
        <f>$C78*D75</f>
        <v>0</v>
      </c>
      <c r="E78" s="38">
        <f t="shared" ref="E78:AG78" si="10">$C78*E75</f>
        <v>0</v>
      </c>
      <c r="F78" s="38">
        <f t="shared" si="10"/>
        <v>0</v>
      </c>
      <c r="G78" s="38">
        <f t="shared" si="10"/>
        <v>0</v>
      </c>
      <c r="H78" s="38">
        <f t="shared" si="10"/>
        <v>2675884.1527525848</v>
      </c>
      <c r="I78" s="38">
        <f t="shared" si="10"/>
        <v>2274006.3538209135</v>
      </c>
      <c r="J78" s="38">
        <f t="shared" si="10"/>
        <v>2301597.0137101714</v>
      </c>
      <c r="K78" s="38">
        <f t="shared" si="10"/>
        <v>2329677.48457865</v>
      </c>
      <c r="L78" s="38">
        <f t="shared" si="10"/>
        <v>2358260.8905924181</v>
      </c>
      <c r="M78" s="38">
        <f t="shared" si="10"/>
        <v>2387121.7136711623</v>
      </c>
      <c r="N78" s="38">
        <f t="shared" si="10"/>
        <v>2414038.547083139</v>
      </c>
      <c r="O78" s="38">
        <f t="shared" si="10"/>
        <v>2441420.2201510211</v>
      </c>
      <c r="P78" s="38">
        <f t="shared" si="10"/>
        <v>2469280.8337777215</v>
      </c>
      <c r="Q78" s="38">
        <f t="shared" si="10"/>
        <v>2497635.31087626</v>
      </c>
      <c r="R78" s="38">
        <f t="shared" si="10"/>
        <v>2368355.5117641068</v>
      </c>
      <c r="S78" s="38">
        <f t="shared" si="10"/>
        <v>2393497.4184414293</v>
      </c>
      <c r="T78" s="38">
        <f t="shared" si="10"/>
        <v>2419099.5577289895</v>
      </c>
      <c r="U78" s="38">
        <f t="shared" si="10"/>
        <v>2445179.3583817603</v>
      </c>
      <c r="V78" s="38">
        <f t="shared" si="10"/>
        <v>2471755.426119559</v>
      </c>
      <c r="W78" s="38">
        <f t="shared" si="10"/>
        <v>2498847.6394088948</v>
      </c>
      <c r="X78" s="38">
        <f t="shared" si="10"/>
        <v>2526477.2533753752</v>
      </c>
      <c r="Y78" s="38">
        <f t="shared" si="10"/>
        <v>2554667.0125439186</v>
      </c>
      <c r="Z78" s="38">
        <f t="shared" si="10"/>
        <v>2583441.2731638025</v>
      </c>
      <c r="AA78" s="38">
        <f t="shared" si="10"/>
        <v>2612826.1359408</v>
      </c>
      <c r="AB78" s="38">
        <f t="shared" si="10"/>
        <v>2642849.5900693238</v>
      </c>
      <c r="AC78" s="38">
        <f t="shared" si="10"/>
        <v>2673541.6695342734</v>
      </c>
      <c r="AD78" s="38">
        <f t="shared" si="10"/>
        <v>2704934.6227356996</v>
      </c>
      <c r="AE78" s="38">
        <f t="shared" si="10"/>
        <v>2737063.0965800299</v>
      </c>
      <c r="AF78" s="38">
        <f t="shared" si="10"/>
        <v>2769964.3362798505</v>
      </c>
      <c r="AG78" s="38">
        <f t="shared" si="10"/>
        <v>2800476.9650727422</v>
      </c>
    </row>
    <row r="79" spans="2:34" x14ac:dyDescent="0.2">
      <c r="B79" s="37" t="s">
        <v>94</v>
      </c>
      <c r="C79" s="6">
        <v>3</v>
      </c>
      <c r="D79" s="38">
        <f>$C79*D75</f>
        <v>0</v>
      </c>
      <c r="E79" s="38">
        <f t="shared" ref="E79:AG79" si="11">$C79*E75</f>
        <v>0</v>
      </c>
      <c r="F79" s="38">
        <f t="shared" si="11"/>
        <v>0</v>
      </c>
      <c r="G79" s="38">
        <f t="shared" si="11"/>
        <v>0</v>
      </c>
      <c r="H79" s="38">
        <f t="shared" si="11"/>
        <v>20069131.145644385</v>
      </c>
      <c r="I79" s="38">
        <f t="shared" si="11"/>
        <v>17055047.653656848</v>
      </c>
      <c r="J79" s="38">
        <f t="shared" si="11"/>
        <v>17261977.602826286</v>
      </c>
      <c r="K79" s="38">
        <f t="shared" si="11"/>
        <v>17472581.134339876</v>
      </c>
      <c r="L79" s="38">
        <f t="shared" si="11"/>
        <v>17686956.679443136</v>
      </c>
      <c r="M79" s="38">
        <f t="shared" si="11"/>
        <v>17903412.852533717</v>
      </c>
      <c r="N79" s="38">
        <f t="shared" si="11"/>
        <v>18105289.103123538</v>
      </c>
      <c r="O79" s="38">
        <f t="shared" si="11"/>
        <v>18310651.651132658</v>
      </c>
      <c r="P79" s="38">
        <f t="shared" si="11"/>
        <v>18519606.253332909</v>
      </c>
      <c r="Q79" s="38">
        <f t="shared" si="11"/>
        <v>18732264.831571952</v>
      </c>
      <c r="R79" s="38">
        <f t="shared" si="11"/>
        <v>17762666.338230804</v>
      </c>
      <c r="S79" s="38">
        <f t="shared" si="11"/>
        <v>17951230.638310716</v>
      </c>
      <c r="T79" s="38">
        <f t="shared" si="11"/>
        <v>18143246.682967421</v>
      </c>
      <c r="U79" s="38">
        <f t="shared" si="11"/>
        <v>18338845.187863201</v>
      </c>
      <c r="V79" s="38">
        <f t="shared" si="11"/>
        <v>18538165.695896693</v>
      </c>
      <c r="W79" s="38">
        <f t="shared" si="11"/>
        <v>18741357.295566708</v>
      </c>
      <c r="X79" s="38">
        <f t="shared" si="11"/>
        <v>18948579.400315311</v>
      </c>
      <c r="Y79" s="38">
        <f t="shared" si="11"/>
        <v>19160002.594079386</v>
      </c>
      <c r="Z79" s="38">
        <f t="shared" si="11"/>
        <v>19375809.548728518</v>
      </c>
      <c r="AA79" s="38">
        <f t="shared" si="11"/>
        <v>19596196.019556001</v>
      </c>
      <c r="AB79" s="38">
        <f t="shared" si="11"/>
        <v>19821371.925519925</v>
      </c>
      <c r="AC79" s="38">
        <f t="shared" si="11"/>
        <v>20051562.521507051</v>
      </c>
      <c r="AD79" s="38">
        <f t="shared" si="11"/>
        <v>20287009.670517743</v>
      </c>
      <c r="AE79" s="38">
        <f t="shared" si="11"/>
        <v>20527973.224350221</v>
      </c>
      <c r="AF79" s="38">
        <f t="shared" si="11"/>
        <v>20774732.522098877</v>
      </c>
      <c r="AG79" s="38">
        <f t="shared" si="11"/>
        <v>21003577.238045566</v>
      </c>
    </row>
    <row r="80" spans="2:34" x14ac:dyDescent="0.2">
      <c r="B80" s="37" t="s">
        <v>95</v>
      </c>
      <c r="C80" s="6">
        <v>0.3</v>
      </c>
      <c r="D80" s="38">
        <f>$C80*D75</f>
        <v>0</v>
      </c>
      <c r="E80" s="38">
        <f t="shared" ref="E80:AG80" si="12">$C80*E75</f>
        <v>0</v>
      </c>
      <c r="F80" s="38">
        <f t="shared" si="12"/>
        <v>0</v>
      </c>
      <c r="G80" s="38">
        <f t="shared" si="12"/>
        <v>0</v>
      </c>
      <c r="H80" s="38">
        <f t="shared" si="12"/>
        <v>2006913.1145644384</v>
      </c>
      <c r="I80" s="38">
        <f t="shared" si="12"/>
        <v>1705504.7653656849</v>
      </c>
      <c r="J80" s="38">
        <f t="shared" si="12"/>
        <v>1726197.7602826285</v>
      </c>
      <c r="K80" s="38">
        <f t="shared" si="12"/>
        <v>1747258.1134339876</v>
      </c>
      <c r="L80" s="38">
        <f t="shared" si="12"/>
        <v>1768695.6679443137</v>
      </c>
      <c r="M80" s="38">
        <f t="shared" si="12"/>
        <v>1790341.2852533718</v>
      </c>
      <c r="N80" s="38">
        <f t="shared" si="12"/>
        <v>1810528.9103123539</v>
      </c>
      <c r="O80" s="38">
        <f t="shared" si="12"/>
        <v>1831065.1651132656</v>
      </c>
      <c r="P80" s="38">
        <f t="shared" si="12"/>
        <v>1851960.6253332908</v>
      </c>
      <c r="Q80" s="38">
        <f t="shared" si="12"/>
        <v>1873226.4831571949</v>
      </c>
      <c r="R80" s="38">
        <f t="shared" si="12"/>
        <v>1776266.6338230802</v>
      </c>
      <c r="S80" s="38">
        <f t="shared" si="12"/>
        <v>1795123.0638310716</v>
      </c>
      <c r="T80" s="38">
        <f t="shared" si="12"/>
        <v>1814324.668296742</v>
      </c>
      <c r="U80" s="38">
        <f t="shared" si="12"/>
        <v>1833884.51878632</v>
      </c>
      <c r="V80" s="38">
        <f t="shared" si="12"/>
        <v>1853816.5695896691</v>
      </c>
      <c r="W80" s="38">
        <f t="shared" si="12"/>
        <v>1874135.7295566709</v>
      </c>
      <c r="X80" s="38">
        <f t="shared" si="12"/>
        <v>1894857.940031531</v>
      </c>
      <c r="Y80" s="38">
        <f t="shared" si="12"/>
        <v>1916000.2594079385</v>
      </c>
      <c r="Z80" s="38">
        <f t="shared" si="12"/>
        <v>1937580.9548728515</v>
      </c>
      <c r="AA80" s="38">
        <f t="shared" si="12"/>
        <v>1959619.6019555999</v>
      </c>
      <c r="AB80" s="38">
        <f t="shared" si="12"/>
        <v>1982137.1925519924</v>
      </c>
      <c r="AC80" s="38">
        <f t="shared" si="12"/>
        <v>2005156.2521507051</v>
      </c>
      <c r="AD80" s="38">
        <f t="shared" si="12"/>
        <v>2028700.9670517743</v>
      </c>
      <c r="AE80" s="38">
        <f t="shared" si="12"/>
        <v>2052797.3224350221</v>
      </c>
      <c r="AF80" s="38">
        <f t="shared" si="12"/>
        <v>2077473.2522098874</v>
      </c>
      <c r="AG80" s="38">
        <f t="shared" si="12"/>
        <v>2100357.7238045563</v>
      </c>
      <c r="AH80" s="39"/>
    </row>
    <row r="81" spans="1:33" x14ac:dyDescent="0.2">
      <c r="B81" s="37" t="s">
        <v>96</v>
      </c>
      <c r="C81" s="6">
        <v>0.9</v>
      </c>
      <c r="D81" s="38">
        <f>$C81*D75</f>
        <v>0</v>
      </c>
      <c r="E81" s="38">
        <f t="shared" ref="E81:AG81" si="13">$C81*E75</f>
        <v>0</v>
      </c>
      <c r="F81" s="38">
        <f t="shared" si="13"/>
        <v>0</v>
      </c>
      <c r="G81" s="38">
        <f t="shared" si="13"/>
        <v>0</v>
      </c>
      <c r="H81" s="38">
        <f t="shared" si="13"/>
        <v>6020739.3436933151</v>
      </c>
      <c r="I81" s="38">
        <f t="shared" si="13"/>
        <v>5116514.2960970551</v>
      </c>
      <c r="J81" s="38">
        <f t="shared" si="13"/>
        <v>5178593.2808478856</v>
      </c>
      <c r="K81" s="38">
        <f t="shared" si="13"/>
        <v>5241774.3403019626</v>
      </c>
      <c r="L81" s="38">
        <f t="shared" si="13"/>
        <v>5306087.0038329409</v>
      </c>
      <c r="M81" s="38">
        <f t="shared" si="13"/>
        <v>5371023.8557601152</v>
      </c>
      <c r="N81" s="38">
        <f t="shared" si="13"/>
        <v>5431586.7309370618</v>
      </c>
      <c r="O81" s="38">
        <f t="shared" si="13"/>
        <v>5493195.4953397969</v>
      </c>
      <c r="P81" s="38">
        <f t="shared" si="13"/>
        <v>5555881.8759998726</v>
      </c>
      <c r="Q81" s="38">
        <f t="shared" si="13"/>
        <v>5619679.4494715855</v>
      </c>
      <c r="R81" s="38">
        <f t="shared" si="13"/>
        <v>5328799.9014692409</v>
      </c>
      <c r="S81" s="38">
        <f t="shared" si="13"/>
        <v>5385369.191493215</v>
      </c>
      <c r="T81" s="38">
        <f t="shared" si="13"/>
        <v>5442974.0048902268</v>
      </c>
      <c r="U81" s="38">
        <f t="shared" si="13"/>
        <v>5501653.5563589605</v>
      </c>
      <c r="V81" s="38">
        <f t="shared" si="13"/>
        <v>5561449.7087690076</v>
      </c>
      <c r="W81" s="38">
        <f t="shared" si="13"/>
        <v>5622407.1886700131</v>
      </c>
      <c r="X81" s="38">
        <f t="shared" si="13"/>
        <v>5684573.8200945938</v>
      </c>
      <c r="Y81" s="38">
        <f t="shared" si="13"/>
        <v>5748000.7782238163</v>
      </c>
      <c r="Z81" s="38">
        <f t="shared" si="13"/>
        <v>5812742.8646185547</v>
      </c>
      <c r="AA81" s="38">
        <f t="shared" si="13"/>
        <v>5878858.8058668002</v>
      </c>
      <c r="AB81" s="38">
        <f t="shared" si="13"/>
        <v>5946411.5776559776</v>
      </c>
      <c r="AC81" s="38">
        <f t="shared" si="13"/>
        <v>6015468.7564521153</v>
      </c>
      <c r="AD81" s="38">
        <f t="shared" si="13"/>
        <v>6086102.9011553237</v>
      </c>
      <c r="AE81" s="38">
        <f t="shared" si="13"/>
        <v>6158391.967305067</v>
      </c>
      <c r="AF81" s="38">
        <f t="shared" si="13"/>
        <v>6232419.7566296626</v>
      </c>
      <c r="AG81" s="38">
        <f t="shared" si="13"/>
        <v>6301073.1714136703</v>
      </c>
    </row>
    <row r="82" spans="1:33" x14ac:dyDescent="0.2">
      <c r="B82" s="7" t="s">
        <v>97</v>
      </c>
      <c r="C82" s="6">
        <v>0.25</v>
      </c>
      <c r="D82" s="38">
        <f>$C82*D75</f>
        <v>0</v>
      </c>
      <c r="E82" s="38">
        <f t="shared" ref="E82:AG82" si="14">$C82*E75</f>
        <v>0</v>
      </c>
      <c r="F82" s="38">
        <f t="shared" si="14"/>
        <v>0</v>
      </c>
      <c r="G82" s="38">
        <f t="shared" si="14"/>
        <v>0</v>
      </c>
      <c r="H82" s="38">
        <f t="shared" si="14"/>
        <v>1672427.5954703654</v>
      </c>
      <c r="I82" s="38">
        <f t="shared" si="14"/>
        <v>1421253.9711380708</v>
      </c>
      <c r="J82" s="38">
        <f t="shared" si="14"/>
        <v>1438498.1335688571</v>
      </c>
      <c r="K82" s="38">
        <f t="shared" si="14"/>
        <v>1456048.4278616563</v>
      </c>
      <c r="L82" s="38">
        <f t="shared" si="14"/>
        <v>1473913.0566202614</v>
      </c>
      <c r="M82" s="38">
        <f t="shared" si="14"/>
        <v>1491951.0710444765</v>
      </c>
      <c r="N82" s="38">
        <f t="shared" si="14"/>
        <v>1508774.0919269617</v>
      </c>
      <c r="O82" s="38">
        <f t="shared" si="14"/>
        <v>1525887.6375943881</v>
      </c>
      <c r="P82" s="38">
        <f t="shared" si="14"/>
        <v>1543300.5211110758</v>
      </c>
      <c r="Q82" s="38">
        <f t="shared" si="14"/>
        <v>1561022.0692976625</v>
      </c>
      <c r="R82" s="38">
        <f t="shared" si="14"/>
        <v>1480222.1948525668</v>
      </c>
      <c r="S82" s="38">
        <f t="shared" si="14"/>
        <v>1495935.8865258931</v>
      </c>
      <c r="T82" s="38">
        <f t="shared" si="14"/>
        <v>1511937.2235806184</v>
      </c>
      <c r="U82" s="38">
        <f t="shared" si="14"/>
        <v>1528237.0989886001</v>
      </c>
      <c r="V82" s="38">
        <f t="shared" si="14"/>
        <v>1544847.1413247243</v>
      </c>
      <c r="W82" s="38">
        <f t="shared" si="14"/>
        <v>1561779.7746305591</v>
      </c>
      <c r="X82" s="38">
        <f t="shared" si="14"/>
        <v>1579048.2833596093</v>
      </c>
      <c r="Y82" s="38">
        <f t="shared" si="14"/>
        <v>1596666.8828399489</v>
      </c>
      <c r="Z82" s="38">
        <f t="shared" si="14"/>
        <v>1614650.7957273764</v>
      </c>
      <c r="AA82" s="38">
        <f t="shared" si="14"/>
        <v>1633016.3349629999</v>
      </c>
      <c r="AB82" s="38">
        <f t="shared" si="14"/>
        <v>1651780.9937933271</v>
      </c>
      <c r="AC82" s="38">
        <f t="shared" si="14"/>
        <v>1670963.5434589209</v>
      </c>
      <c r="AD82" s="38">
        <f t="shared" si="14"/>
        <v>1690584.139209812</v>
      </c>
      <c r="AE82" s="38">
        <f t="shared" si="14"/>
        <v>1710664.4353625185</v>
      </c>
      <c r="AF82" s="38">
        <f t="shared" si="14"/>
        <v>1731227.7101749063</v>
      </c>
      <c r="AG82" s="38">
        <f t="shared" si="14"/>
        <v>1750298.1031704638</v>
      </c>
    </row>
    <row r="83" spans="1:33" x14ac:dyDescent="0.2">
      <c r="B83" s="7" t="s">
        <v>98</v>
      </c>
      <c r="C83" s="6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</row>
    <row r="84" spans="1:33" x14ac:dyDescent="0.2">
      <c r="B84" s="7" t="s">
        <v>84</v>
      </c>
      <c r="C84" s="7"/>
      <c r="D84" s="40">
        <f>SUM(D77:D82)</f>
        <v>0</v>
      </c>
      <c r="E84" s="40">
        <f t="shared" ref="E84:AG84" si="15">SUM(E77:E82)</f>
        <v>0</v>
      </c>
      <c r="F84" s="40">
        <f t="shared" si="15"/>
        <v>0</v>
      </c>
      <c r="G84" s="40">
        <f t="shared" si="15"/>
        <v>0</v>
      </c>
      <c r="H84" s="40">
        <f t="shared" si="15"/>
        <v>101349112.28550413</v>
      </c>
      <c r="I84" s="40">
        <f t="shared" si="15"/>
        <v>86127990.650967091</v>
      </c>
      <c r="J84" s="40">
        <f t="shared" si="15"/>
        <v>87172986.89427276</v>
      </c>
      <c r="K84" s="40">
        <f t="shared" si="15"/>
        <v>88236534.728416383</v>
      </c>
      <c r="L84" s="40">
        <f t="shared" si="15"/>
        <v>89319131.231187835</v>
      </c>
      <c r="M84" s="40">
        <f t="shared" si="15"/>
        <v>90412234.905295283</v>
      </c>
      <c r="N84" s="40">
        <f t="shared" si="15"/>
        <v>91431709.970773876</v>
      </c>
      <c r="O84" s="40">
        <f t="shared" si="15"/>
        <v>92468790.838219926</v>
      </c>
      <c r="P84" s="40">
        <f t="shared" si="15"/>
        <v>93524011.579331189</v>
      </c>
      <c r="Q84" s="40">
        <f t="shared" si="15"/>
        <v>94597937.399438336</v>
      </c>
      <c r="R84" s="40">
        <f t="shared" si="15"/>
        <v>89701465.008065552</v>
      </c>
      <c r="S84" s="40">
        <f t="shared" si="15"/>
        <v>90653714.723469123</v>
      </c>
      <c r="T84" s="40">
        <f t="shared" si="15"/>
        <v>91623395.748985484</v>
      </c>
      <c r="U84" s="40">
        <f t="shared" si="15"/>
        <v>92611168.19870919</v>
      </c>
      <c r="V84" s="40">
        <f t="shared" si="15"/>
        <v>93617736.764278308</v>
      </c>
      <c r="W84" s="40">
        <f t="shared" si="15"/>
        <v>94643854.342611879</v>
      </c>
      <c r="X84" s="40">
        <f t="shared" si="15"/>
        <v>95690325.971592337</v>
      </c>
      <c r="Y84" s="40">
        <f t="shared" si="15"/>
        <v>96758013.100100905</v>
      </c>
      <c r="Z84" s="40">
        <f t="shared" si="15"/>
        <v>97847838.221079007</v>
      </c>
      <c r="AA84" s="40">
        <f t="shared" si="15"/>
        <v>98960789.898757786</v>
      </c>
      <c r="AB84" s="40">
        <f t="shared" si="15"/>
        <v>100097928.22387561</v>
      </c>
      <c r="AC84" s="40">
        <f t="shared" si="15"/>
        <v>101260390.7336106</v>
      </c>
      <c r="AD84" s="40">
        <f t="shared" si="15"/>
        <v>102449398.8361146</v>
      </c>
      <c r="AE84" s="40">
        <f t="shared" si="15"/>
        <v>103666264.78296861</v>
      </c>
      <c r="AF84" s="40">
        <f t="shared" si="15"/>
        <v>104912399.23659931</v>
      </c>
      <c r="AG84" s="40">
        <f t="shared" si="15"/>
        <v>106068065.05213013</v>
      </c>
    </row>
    <row r="86" spans="1:33" x14ac:dyDescent="0.2">
      <c r="A86" s="41"/>
      <c r="B86" s="4" t="s">
        <v>99</v>
      </c>
      <c r="C86" s="4" t="s">
        <v>100</v>
      </c>
    </row>
    <row r="87" spans="1:33" x14ac:dyDescent="0.2">
      <c r="B87" s="4" t="s">
        <v>101</v>
      </c>
      <c r="C87" s="42">
        <v>750</v>
      </c>
    </row>
    <row r="88" spans="1:33" x14ac:dyDescent="0.2">
      <c r="B88" s="4" t="s">
        <v>102</v>
      </c>
      <c r="C88" s="42">
        <f>380+320</f>
        <v>700</v>
      </c>
    </row>
    <row r="89" spans="1:33" x14ac:dyDescent="0.2">
      <c r="B89" s="4" t="s">
        <v>103</v>
      </c>
      <c r="C89" s="42">
        <v>35</v>
      </c>
    </row>
    <row r="90" spans="1:33" x14ac:dyDescent="0.2">
      <c r="B90" s="4" t="s">
        <v>104</v>
      </c>
      <c r="C90" s="42">
        <f>SUM(C87:C89)</f>
        <v>1485</v>
      </c>
    </row>
    <row r="92" spans="1:33" x14ac:dyDescent="0.2">
      <c r="C92" s="42" t="s">
        <v>105</v>
      </c>
    </row>
    <row r="93" spans="1:33" x14ac:dyDescent="0.2">
      <c r="B93" s="4" t="s">
        <v>106</v>
      </c>
      <c r="C93" s="43">
        <f>C90</f>
        <v>1485</v>
      </c>
    </row>
    <row r="94" spans="1:33" x14ac:dyDescent="0.2">
      <c r="B94" s="4" t="s">
        <v>107</v>
      </c>
      <c r="C94" s="43">
        <f>[44]Tagbilaran!$S$590*1000000/1000</f>
        <v>18327.973648990304</v>
      </c>
    </row>
    <row r="95" spans="1:33" x14ac:dyDescent="0.2">
      <c r="B95" s="4" t="s">
        <v>108</v>
      </c>
      <c r="C95" s="43">
        <f>C94*0.25</f>
        <v>4581.9934122475761</v>
      </c>
    </row>
    <row r="96" spans="1:33" x14ac:dyDescent="0.2">
      <c r="B96" s="4" t="s">
        <v>109</v>
      </c>
      <c r="C96" s="44">
        <f>C95-C93</f>
        <v>3096.9934122475761</v>
      </c>
      <c r="D96" s="45"/>
    </row>
    <row r="97" spans="2:3" x14ac:dyDescent="0.2">
      <c r="B97" s="46" t="s">
        <v>110</v>
      </c>
    </row>
    <row r="98" spans="2:3" x14ac:dyDescent="0.2">
      <c r="B98" s="4" t="s">
        <v>111</v>
      </c>
      <c r="C98" s="47">
        <f>21000000*(C96/1000)</f>
        <v>65036861.657199092</v>
      </c>
    </row>
  </sheetData>
  <mergeCells count="1">
    <mergeCell ref="B3:C3"/>
  </mergeCells>
  <pageMargins left="0.7" right="0.7" top="0.75" bottom="0.75" header="0.3" footer="0.3"/>
  <pageSetup orientation="portrait" horizontalDpi="360" verticalDpi="36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96113-7762-1443-A1EA-7283E87E5972}">
  <sheetPr>
    <tabColor rgb="FFFFFF00"/>
  </sheetPr>
  <dimension ref="A1:M47"/>
  <sheetViews>
    <sheetView workbookViewId="0">
      <selection activeCell="J47" sqref="J47"/>
    </sheetView>
  </sheetViews>
  <sheetFormatPr baseColWidth="10" defaultRowHeight="15" x14ac:dyDescent="0.2"/>
  <cols>
    <col min="1" max="1" width="36" customWidth="1"/>
    <col min="2" max="2" width="11.1640625" bestFit="1" customWidth="1"/>
    <col min="3" max="3" width="12.83203125" customWidth="1"/>
    <col min="4" max="4" width="11.83203125" customWidth="1"/>
    <col min="5" max="5" width="11" customWidth="1"/>
    <col min="6" max="7" width="11.1640625" customWidth="1"/>
    <col min="8" max="8" width="10.83203125" customWidth="1"/>
    <col min="9" max="9" width="12" customWidth="1"/>
    <col min="10" max="10" width="10.5" customWidth="1"/>
    <col min="11" max="11" width="10.33203125" customWidth="1"/>
    <col min="12" max="12" width="10.1640625" bestFit="1" customWidth="1"/>
    <col min="13" max="13" width="11" customWidth="1"/>
  </cols>
  <sheetData>
    <row r="1" spans="1:13" x14ac:dyDescent="0.2">
      <c r="A1" t="s">
        <v>322</v>
      </c>
    </row>
    <row r="2" spans="1:13" x14ac:dyDescent="0.2">
      <c r="A2" t="s">
        <v>157</v>
      </c>
    </row>
    <row r="3" spans="1:13" ht="51" x14ac:dyDescent="0.2">
      <c r="A3" s="364" t="s">
        <v>303</v>
      </c>
      <c r="B3" s="367" t="s">
        <v>329</v>
      </c>
      <c r="C3" s="368" t="s">
        <v>311</v>
      </c>
      <c r="D3" s="48" t="s">
        <v>312</v>
      </c>
      <c r="E3" s="48" t="s">
        <v>313</v>
      </c>
      <c r="F3" s="48" t="s">
        <v>314</v>
      </c>
      <c r="G3" s="48" t="s">
        <v>315</v>
      </c>
      <c r="H3" s="48" t="s">
        <v>316</v>
      </c>
      <c r="I3" s="48" t="s">
        <v>317</v>
      </c>
      <c r="J3" s="48" t="s">
        <v>318</v>
      </c>
      <c r="K3" s="48" t="s">
        <v>319</v>
      </c>
      <c r="L3" s="48" t="s">
        <v>320</v>
      </c>
      <c r="M3" s="48" t="s">
        <v>321</v>
      </c>
    </row>
    <row r="4" spans="1:13" x14ac:dyDescent="0.2">
      <c r="A4" t="s">
        <v>304</v>
      </c>
      <c r="B4" s="125" t="s">
        <v>330</v>
      </c>
      <c r="D4" s="374">
        <v>10493</v>
      </c>
      <c r="E4" s="374">
        <v>10648</v>
      </c>
      <c r="F4" s="374">
        <v>10806</v>
      </c>
      <c r="G4" s="374">
        <v>10966</v>
      </c>
      <c r="H4" s="374">
        <v>11128</v>
      </c>
      <c r="I4" s="374">
        <v>11292</v>
      </c>
      <c r="J4" s="374">
        <v>11443</v>
      </c>
      <c r="K4" s="374">
        <v>11596</v>
      </c>
      <c r="L4" s="374">
        <v>11751</v>
      </c>
      <c r="M4" s="374">
        <v>11908</v>
      </c>
    </row>
    <row r="5" spans="1:13" x14ac:dyDescent="0.2">
      <c r="A5" t="s">
        <v>127</v>
      </c>
      <c r="B5" s="125" t="s">
        <v>331</v>
      </c>
      <c r="D5" s="374">
        <v>0</v>
      </c>
      <c r="E5" s="374">
        <v>0</v>
      </c>
      <c r="F5" s="374">
        <v>0</v>
      </c>
      <c r="G5" s="374">
        <v>0</v>
      </c>
      <c r="H5" s="374">
        <v>0</v>
      </c>
      <c r="I5" s="374">
        <v>0</v>
      </c>
      <c r="J5" s="374">
        <v>0</v>
      </c>
      <c r="K5" s="374">
        <v>0</v>
      </c>
      <c r="L5" s="374">
        <v>0</v>
      </c>
      <c r="M5" s="374">
        <v>0</v>
      </c>
    </row>
    <row r="6" spans="1:13" x14ac:dyDescent="0.2">
      <c r="A6" t="s">
        <v>323</v>
      </c>
      <c r="B6" s="125" t="s">
        <v>331</v>
      </c>
      <c r="D6" s="374">
        <v>8557477.4654371049</v>
      </c>
      <c r="E6" s="374">
        <v>8621012.6144975442</v>
      </c>
      <c r="F6" s="374">
        <v>8741461.1599224471</v>
      </c>
      <c r="G6" s="374">
        <v>8865025.3754268438</v>
      </c>
      <c r="H6" s="374">
        <v>8991863.2877929471</v>
      </c>
      <c r="I6" s="374">
        <v>9122144.7668600623</v>
      </c>
      <c r="J6" s="374">
        <v>9246266.6553549841</v>
      </c>
      <c r="K6" s="374">
        <v>9373936.7118941117</v>
      </c>
      <c r="L6" s="374">
        <v>9505360.8295061346</v>
      </c>
      <c r="M6" s="374">
        <v>9640761.1311731022</v>
      </c>
    </row>
    <row r="7" spans="1:13" x14ac:dyDescent="0.2">
      <c r="A7" t="s">
        <v>324</v>
      </c>
      <c r="B7" s="125" t="s">
        <v>331</v>
      </c>
      <c r="D7" s="374">
        <v>6689710.3818814605</v>
      </c>
      <c r="E7" s="374">
        <v>5685015.8845522841</v>
      </c>
      <c r="F7" s="374">
        <v>5753992.5342754284</v>
      </c>
      <c r="G7" s="374">
        <v>5824193.7114466252</v>
      </c>
      <c r="H7" s="374">
        <v>5895652.2264810456</v>
      </c>
      <c r="I7" s="374">
        <v>5967804.2841779059</v>
      </c>
      <c r="J7" s="374">
        <v>6035096.3677078476</v>
      </c>
      <c r="K7" s="374">
        <v>6103550.5503775533</v>
      </c>
      <c r="L7" s="374">
        <v>6173202.0844443031</v>
      </c>
      <c r="M7" s="374">
        <v>6244088.2771906499</v>
      </c>
    </row>
    <row r="8" spans="1:13" x14ac:dyDescent="0.2">
      <c r="B8" t="s">
        <v>135</v>
      </c>
      <c r="C8" s="65" t="s">
        <v>135</v>
      </c>
    </row>
    <row r="9" spans="1:13" ht="51" x14ac:dyDescent="0.2">
      <c r="A9" s="364" t="s">
        <v>0</v>
      </c>
      <c r="B9" s="367" t="s">
        <v>325</v>
      </c>
      <c r="C9" s="368" t="s">
        <v>311</v>
      </c>
      <c r="D9" s="48" t="s">
        <v>312</v>
      </c>
      <c r="E9" s="48" t="s">
        <v>313</v>
      </c>
      <c r="F9" s="48" t="s">
        <v>314</v>
      </c>
      <c r="G9" s="48" t="s">
        <v>315</v>
      </c>
      <c r="H9" s="48" t="s">
        <v>316</v>
      </c>
      <c r="I9" s="48" t="s">
        <v>317</v>
      </c>
      <c r="J9" s="48" t="s">
        <v>318</v>
      </c>
      <c r="K9" s="48" t="s">
        <v>319</v>
      </c>
      <c r="L9" s="48" t="s">
        <v>320</v>
      </c>
      <c r="M9" s="48" t="s">
        <v>321</v>
      </c>
    </row>
    <row r="10" spans="1:13" x14ac:dyDescent="0.2">
      <c r="A10" t="s">
        <v>305</v>
      </c>
      <c r="B10" s="125" t="s">
        <v>326</v>
      </c>
      <c r="C10" s="374">
        <f>'Tagbilaran CAPEX&amp;OPEX_realistic'!D70+'Tagbilaran CAPEX&amp;OPEX_realistic'!E70+'Tagbilaran CAPEX&amp;OPEX_realistic'!F70+'Tagbilaran CAPEX&amp;OPEX_realistic'!G70</f>
        <v>579242798.99894297</v>
      </c>
      <c r="D10" s="375">
        <f>'Tagbilaran CAPEX&amp;OPEX_realistic'!H70</f>
        <v>0</v>
      </c>
      <c r="E10" s="375">
        <f>'Tagbilaran CAPEX&amp;OPEX_realistic'!I70</f>
        <v>0</v>
      </c>
      <c r="F10" s="375">
        <f>'Tagbilaran CAPEX&amp;OPEX_realistic'!J70</f>
        <v>0</v>
      </c>
      <c r="G10" s="375">
        <f>'Tagbilaran CAPEX&amp;OPEX_realistic'!K70</f>
        <v>0</v>
      </c>
      <c r="H10" s="375">
        <f>'Tagbilaran CAPEX&amp;OPEX_realistic'!L70</f>
        <v>0</v>
      </c>
      <c r="I10" s="375">
        <f>'Tagbilaran CAPEX&amp;OPEX_realistic'!M70</f>
        <v>114056861.65719908</v>
      </c>
      <c r="J10" s="375">
        <f>'Tagbilaran CAPEX&amp;OPEX_realistic'!N70</f>
        <v>0</v>
      </c>
      <c r="K10" s="375">
        <f>'Tagbilaran CAPEX&amp;OPEX_realistic'!O70</f>
        <v>0</v>
      </c>
      <c r="L10" s="375">
        <f>'Tagbilaran CAPEX&amp;OPEX_realistic'!P70</f>
        <v>0</v>
      </c>
      <c r="M10" s="375">
        <f>'Tagbilaran CAPEX&amp;OPEX_realistic'!Q70</f>
        <v>0</v>
      </c>
    </row>
    <row r="11" spans="1:13" x14ac:dyDescent="0.2">
      <c r="A11" t="s">
        <v>306</v>
      </c>
      <c r="B11" s="125" t="s">
        <v>326</v>
      </c>
      <c r="C11" s="376"/>
      <c r="D11" s="377">
        <v>0</v>
      </c>
      <c r="E11" s="377">
        <v>0</v>
      </c>
      <c r="F11" s="377">
        <v>0</v>
      </c>
      <c r="G11" s="377">
        <v>0</v>
      </c>
      <c r="H11" s="377">
        <v>0</v>
      </c>
      <c r="I11" s="377">
        <v>0</v>
      </c>
      <c r="J11" s="377">
        <v>0</v>
      </c>
      <c r="K11" s="377">
        <v>0</v>
      </c>
      <c r="L11" s="377">
        <v>0</v>
      </c>
      <c r="M11" s="377">
        <v>0</v>
      </c>
    </row>
    <row r="12" spans="1:13" x14ac:dyDescent="0.2">
      <c r="C12" s="376"/>
      <c r="D12" s="378"/>
      <c r="E12" s="378"/>
      <c r="F12" s="378"/>
      <c r="G12" s="378"/>
      <c r="H12" s="378"/>
      <c r="I12" s="376"/>
      <c r="J12" s="376"/>
      <c r="K12" s="376"/>
      <c r="L12" s="376"/>
      <c r="M12" s="376"/>
    </row>
    <row r="13" spans="1:13" ht="51" x14ac:dyDescent="0.2">
      <c r="A13" s="369" t="s">
        <v>344</v>
      </c>
      <c r="B13" s="367" t="s">
        <v>325</v>
      </c>
      <c r="C13" s="368" t="s">
        <v>311</v>
      </c>
      <c r="D13" s="48" t="s">
        <v>312</v>
      </c>
      <c r="E13" s="48" t="s">
        <v>313</v>
      </c>
      <c r="F13" s="48" t="s">
        <v>314</v>
      </c>
      <c r="G13" s="48" t="s">
        <v>315</v>
      </c>
      <c r="H13" s="48" t="s">
        <v>316</v>
      </c>
      <c r="I13" s="48" t="s">
        <v>317</v>
      </c>
      <c r="J13" s="48" t="s">
        <v>318</v>
      </c>
      <c r="K13" s="48" t="s">
        <v>319</v>
      </c>
      <c r="L13" s="48" t="s">
        <v>320</v>
      </c>
      <c r="M13" s="48" t="s">
        <v>321</v>
      </c>
    </row>
    <row r="14" spans="1:13" ht="16" x14ac:dyDescent="0.2">
      <c r="A14" s="371"/>
      <c r="B14" s="366"/>
      <c r="C14" s="372"/>
      <c r="D14" s="373"/>
      <c r="E14" s="373"/>
      <c r="F14" s="373"/>
      <c r="G14" s="373"/>
      <c r="H14" s="373"/>
      <c r="I14" s="373"/>
      <c r="J14" s="373"/>
      <c r="K14" s="373"/>
      <c r="L14" s="373"/>
      <c r="M14" s="373"/>
    </row>
    <row r="15" spans="1:13" ht="16" x14ac:dyDescent="0.2">
      <c r="A15" s="379" t="s">
        <v>134</v>
      </c>
      <c r="B15" s="381">
        <v>0.05</v>
      </c>
      <c r="C15" s="372"/>
      <c r="D15" s="373"/>
      <c r="E15" s="373"/>
      <c r="F15" s="373"/>
      <c r="G15" s="373"/>
      <c r="H15" s="373"/>
      <c r="I15" s="373"/>
      <c r="J15" s="373"/>
      <c r="K15" s="373"/>
      <c r="L15" s="373"/>
      <c r="M15" s="373"/>
    </row>
    <row r="16" spans="1:13" x14ac:dyDescent="0.2">
      <c r="A16" t="s">
        <v>333</v>
      </c>
      <c r="B16" s="376">
        <v>250</v>
      </c>
      <c r="D16" s="365">
        <f>D4/$B$16</f>
        <v>41.972000000000001</v>
      </c>
      <c r="E16" s="365">
        <f t="shared" ref="E16:M16" si="0">E4/$B$16</f>
        <v>42.591999999999999</v>
      </c>
      <c r="F16" s="365">
        <f t="shared" si="0"/>
        <v>43.223999999999997</v>
      </c>
      <c r="G16" s="365">
        <f t="shared" si="0"/>
        <v>43.863999999999997</v>
      </c>
      <c r="H16" s="365">
        <f t="shared" si="0"/>
        <v>44.512</v>
      </c>
      <c r="I16" s="365">
        <f t="shared" si="0"/>
        <v>45.167999999999999</v>
      </c>
      <c r="J16" s="365">
        <f t="shared" si="0"/>
        <v>45.771999999999998</v>
      </c>
      <c r="K16" s="365">
        <f t="shared" si="0"/>
        <v>46.384</v>
      </c>
      <c r="L16" s="365">
        <f t="shared" si="0"/>
        <v>47.003999999999998</v>
      </c>
      <c r="M16" s="365">
        <f t="shared" si="0"/>
        <v>47.631999999999998</v>
      </c>
    </row>
    <row r="17" spans="1:13" x14ac:dyDescent="0.2">
      <c r="A17" t="s">
        <v>332</v>
      </c>
      <c r="B17" s="374">
        <v>19090</v>
      </c>
      <c r="D17" s="365">
        <f>B17</f>
        <v>19090</v>
      </c>
      <c r="E17" s="365">
        <f>D17*(1+$B$15)</f>
        <v>20044.5</v>
      </c>
      <c r="F17" s="365">
        <f>E17*(1+$B$15)</f>
        <v>21046.725000000002</v>
      </c>
      <c r="G17" s="365">
        <f t="shared" ref="G17:M17" si="1">F17*(1+$B$15)</f>
        <v>22099.061250000002</v>
      </c>
      <c r="H17" s="365">
        <f t="shared" si="1"/>
        <v>23204.014312500003</v>
      </c>
      <c r="I17" s="365">
        <f t="shared" si="1"/>
        <v>24364.215028125003</v>
      </c>
      <c r="J17" s="365">
        <f t="shared" si="1"/>
        <v>25582.425779531255</v>
      </c>
      <c r="K17" s="365">
        <f t="shared" si="1"/>
        <v>26861.547068507818</v>
      </c>
      <c r="L17" s="365">
        <f t="shared" si="1"/>
        <v>28204.624421933211</v>
      </c>
      <c r="M17" s="365">
        <f t="shared" si="1"/>
        <v>29614.855643029874</v>
      </c>
    </row>
    <row r="18" spans="1:13" x14ac:dyDescent="0.2">
      <c r="A18" t="s">
        <v>334</v>
      </c>
      <c r="B18" s="376">
        <v>13.13</v>
      </c>
      <c r="D18" s="65">
        <f>B18</f>
        <v>13.13</v>
      </c>
      <c r="E18" s="65">
        <f>D18*(1+$B$15)</f>
        <v>13.786500000000002</v>
      </c>
      <c r="F18" s="65">
        <f t="shared" ref="F18:M18" si="2">E18*(1+$B$15)</f>
        <v>14.475825000000002</v>
      </c>
      <c r="G18" s="65">
        <f t="shared" si="2"/>
        <v>15.199616250000004</v>
      </c>
      <c r="H18" s="65">
        <f t="shared" si="2"/>
        <v>15.959597062500004</v>
      </c>
      <c r="I18" s="65">
        <f t="shared" si="2"/>
        <v>16.757576915625005</v>
      </c>
      <c r="J18" s="65">
        <f t="shared" si="2"/>
        <v>17.595455761406257</v>
      </c>
      <c r="K18" s="65">
        <f t="shared" si="2"/>
        <v>18.475228549476569</v>
      </c>
      <c r="L18" s="65">
        <f t="shared" si="2"/>
        <v>19.398989976950396</v>
      </c>
      <c r="M18" s="65">
        <f t="shared" si="2"/>
        <v>20.368939475797916</v>
      </c>
    </row>
    <row r="19" spans="1:13" x14ac:dyDescent="0.2">
      <c r="A19" t="s">
        <v>307</v>
      </c>
      <c r="B19" s="376">
        <v>0.5</v>
      </c>
      <c r="D19" s="61">
        <f>B19</f>
        <v>0.5</v>
      </c>
      <c r="E19" s="61">
        <f>D19*(1+$B$15)</f>
        <v>0.52500000000000002</v>
      </c>
      <c r="F19" s="61">
        <f t="shared" ref="F19:M19" si="3">E19*(1+$B$15)</f>
        <v>0.55125000000000002</v>
      </c>
      <c r="G19" s="61">
        <f t="shared" si="3"/>
        <v>0.57881250000000006</v>
      </c>
      <c r="H19" s="61">
        <f t="shared" si="3"/>
        <v>0.60775312500000012</v>
      </c>
      <c r="I19" s="61">
        <f t="shared" si="3"/>
        <v>0.63814078125000018</v>
      </c>
      <c r="J19" s="61">
        <f t="shared" si="3"/>
        <v>0.67004782031250021</v>
      </c>
      <c r="K19" s="61">
        <f t="shared" si="3"/>
        <v>0.70355021132812523</v>
      </c>
      <c r="L19" s="61">
        <f t="shared" si="3"/>
        <v>0.73872772189453151</v>
      </c>
      <c r="M19" s="61">
        <f t="shared" si="3"/>
        <v>0.77566410798925811</v>
      </c>
    </row>
    <row r="20" spans="1:13" x14ac:dyDescent="0.2">
      <c r="A20" t="s">
        <v>327</v>
      </c>
      <c r="B20" s="376">
        <v>19.850000000000001</v>
      </c>
      <c r="D20">
        <f>B20</f>
        <v>19.850000000000001</v>
      </c>
      <c r="E20">
        <f>D20</f>
        <v>19.850000000000001</v>
      </c>
      <c r="F20">
        <f>E20</f>
        <v>19.850000000000001</v>
      </c>
      <c r="G20">
        <f>F20</f>
        <v>19.850000000000001</v>
      </c>
      <c r="H20">
        <f>G20</f>
        <v>19.850000000000001</v>
      </c>
    </row>
    <row r="21" spans="1:13" x14ac:dyDescent="0.2">
      <c r="A21" t="s">
        <v>328</v>
      </c>
      <c r="B21" s="382">
        <v>25.8</v>
      </c>
      <c r="I21" s="61">
        <f>B21</f>
        <v>25.8</v>
      </c>
      <c r="J21" s="61">
        <f>I21</f>
        <v>25.8</v>
      </c>
      <c r="K21" s="61">
        <f>J21</f>
        <v>25.8</v>
      </c>
      <c r="L21" s="61">
        <f>K21</f>
        <v>25.8</v>
      </c>
      <c r="M21" s="61">
        <f>L21</f>
        <v>25.8</v>
      </c>
    </row>
    <row r="22" spans="1:13" x14ac:dyDescent="0.2">
      <c r="A22" t="s">
        <v>341</v>
      </c>
      <c r="B22" s="380">
        <v>0.05</v>
      </c>
      <c r="D22" s="363">
        <f>B22</f>
        <v>0.05</v>
      </c>
      <c r="E22" s="363">
        <f>D22</f>
        <v>0.05</v>
      </c>
      <c r="F22" s="363">
        <f t="shared" ref="F22:M22" si="4">E22</f>
        <v>0.05</v>
      </c>
      <c r="G22" s="363">
        <f t="shared" si="4"/>
        <v>0.05</v>
      </c>
      <c r="H22" s="363">
        <f t="shared" si="4"/>
        <v>0.05</v>
      </c>
      <c r="I22" s="363">
        <f t="shared" si="4"/>
        <v>0.05</v>
      </c>
      <c r="J22" s="363">
        <f t="shared" si="4"/>
        <v>0.05</v>
      </c>
      <c r="K22" s="363">
        <f t="shared" si="4"/>
        <v>0.05</v>
      </c>
      <c r="L22" s="363">
        <f t="shared" si="4"/>
        <v>0.05</v>
      </c>
      <c r="M22" s="363">
        <f t="shared" si="4"/>
        <v>0.05</v>
      </c>
    </row>
    <row r="23" spans="1:13" x14ac:dyDescent="0.2">
      <c r="A23" t="s">
        <v>342</v>
      </c>
      <c r="B23" s="380">
        <v>0.1</v>
      </c>
      <c r="D23" s="363">
        <f>B23</f>
        <v>0.1</v>
      </c>
      <c r="E23" s="363">
        <f>D23</f>
        <v>0.1</v>
      </c>
      <c r="F23" s="363">
        <f t="shared" ref="F23:M23" si="5">E23</f>
        <v>0.1</v>
      </c>
      <c r="G23" s="363">
        <f t="shared" si="5"/>
        <v>0.1</v>
      </c>
      <c r="H23" s="363">
        <f t="shared" si="5"/>
        <v>0.1</v>
      </c>
      <c r="I23" s="363">
        <f t="shared" si="5"/>
        <v>0.1</v>
      </c>
      <c r="J23" s="363">
        <f t="shared" si="5"/>
        <v>0.1</v>
      </c>
      <c r="K23" s="363">
        <f t="shared" si="5"/>
        <v>0.1</v>
      </c>
      <c r="L23" s="363">
        <f t="shared" si="5"/>
        <v>0.1</v>
      </c>
      <c r="M23" s="363">
        <f t="shared" si="5"/>
        <v>0.1</v>
      </c>
    </row>
    <row r="24" spans="1:13" x14ac:dyDescent="0.2">
      <c r="A24" t="s">
        <v>343</v>
      </c>
      <c r="B24" s="374">
        <v>25</v>
      </c>
    </row>
    <row r="25" spans="1:13" x14ac:dyDescent="0.2">
      <c r="B25" s="363"/>
    </row>
    <row r="26" spans="1:13" hidden="1" x14ac:dyDescent="0.2"/>
    <row r="27" spans="1:13" ht="51" hidden="1" x14ac:dyDescent="0.2">
      <c r="A27" s="364" t="s">
        <v>310</v>
      </c>
      <c r="B27" s="367" t="s">
        <v>325</v>
      </c>
      <c r="C27" s="368" t="s">
        <v>311</v>
      </c>
      <c r="D27" s="48" t="s">
        <v>312</v>
      </c>
      <c r="E27" s="48" t="s">
        <v>313</v>
      </c>
      <c r="F27" s="48" t="s">
        <v>314</v>
      </c>
      <c r="G27" s="48" t="s">
        <v>315</v>
      </c>
      <c r="H27" s="48" t="s">
        <v>316</v>
      </c>
      <c r="I27" s="48" t="s">
        <v>317</v>
      </c>
      <c r="J27" s="48" t="s">
        <v>318</v>
      </c>
      <c r="K27" s="48" t="s">
        <v>319</v>
      </c>
      <c r="L27" s="48" t="s">
        <v>320</v>
      </c>
      <c r="M27" s="48" t="s">
        <v>321</v>
      </c>
    </row>
    <row r="28" spans="1:13" hidden="1" x14ac:dyDescent="0.2">
      <c r="A28" t="s">
        <v>345</v>
      </c>
      <c r="B28" s="374">
        <v>15000</v>
      </c>
    </row>
    <row r="29" spans="1:13" hidden="1" x14ac:dyDescent="0.2">
      <c r="A29" t="s">
        <v>346</v>
      </c>
      <c r="B29" s="376">
        <v>5</v>
      </c>
    </row>
    <row r="30" spans="1:13" hidden="1" x14ac:dyDescent="0.2">
      <c r="A30" t="s">
        <v>347</v>
      </c>
      <c r="B30" s="376">
        <v>10</v>
      </c>
    </row>
    <row r="31" spans="1:13" hidden="1" x14ac:dyDescent="0.2">
      <c r="A31" t="s">
        <v>348</v>
      </c>
      <c r="B31" s="376">
        <v>5</v>
      </c>
    </row>
    <row r="32" spans="1:13" hidden="1" x14ac:dyDescent="0.2">
      <c r="A32" t="s">
        <v>308</v>
      </c>
      <c r="B32" s="380">
        <v>0.05</v>
      </c>
    </row>
    <row r="33" spans="1:9" hidden="1" x14ac:dyDescent="0.2">
      <c r="A33" t="s">
        <v>309</v>
      </c>
      <c r="B33" s="380">
        <v>0.1</v>
      </c>
    </row>
    <row r="34" spans="1:9" hidden="1" x14ac:dyDescent="0.2">
      <c r="A34" t="s">
        <v>343</v>
      </c>
      <c r="B34" s="374">
        <v>40</v>
      </c>
    </row>
    <row r="35" spans="1:9" hidden="1" x14ac:dyDescent="0.2"/>
    <row r="37" spans="1:9" ht="16" x14ac:dyDescent="0.2">
      <c r="A37" s="364" t="s">
        <v>351</v>
      </c>
    </row>
    <row r="38" spans="1:9" ht="16" x14ac:dyDescent="0.2">
      <c r="A38" s="386" t="s">
        <v>354</v>
      </c>
      <c r="B38" s="387">
        <v>1</v>
      </c>
      <c r="I38" s="387">
        <v>1</v>
      </c>
    </row>
    <row r="39" spans="1:9" ht="16" x14ac:dyDescent="0.2">
      <c r="A39" s="386" t="s">
        <v>355</v>
      </c>
      <c r="B39" s="374">
        <v>0</v>
      </c>
      <c r="C39" s="370">
        <f>C10</f>
        <v>579242798.99894297</v>
      </c>
      <c r="I39" s="374">
        <f>I10</f>
        <v>114056861.65719908</v>
      </c>
    </row>
    <row r="40" spans="1:9" ht="16" x14ac:dyDescent="0.2">
      <c r="A40" s="386" t="s">
        <v>356</v>
      </c>
      <c r="B40" s="380">
        <v>0</v>
      </c>
      <c r="C40" s="370">
        <f>C39*B40</f>
        <v>0</v>
      </c>
      <c r="I40" s="380">
        <v>0</v>
      </c>
    </row>
    <row r="41" spans="1:9" ht="16" x14ac:dyDescent="0.2">
      <c r="A41" s="386" t="s">
        <v>357</v>
      </c>
      <c r="B41" s="363">
        <f>B38-B40-B42</f>
        <v>1</v>
      </c>
      <c r="C41" s="57">
        <f>C39*B41</f>
        <v>579242798.99894297</v>
      </c>
      <c r="I41" s="363">
        <f>I38-I40-I42</f>
        <v>1</v>
      </c>
    </row>
    <row r="42" spans="1:9" ht="16" x14ac:dyDescent="0.2">
      <c r="A42" s="386" t="s">
        <v>358</v>
      </c>
      <c r="B42" s="380">
        <v>0</v>
      </c>
      <c r="C42" s="370">
        <f>C39*B42</f>
        <v>0</v>
      </c>
      <c r="I42" s="380">
        <v>0</v>
      </c>
    </row>
    <row r="43" spans="1:9" ht="16" x14ac:dyDescent="0.2">
      <c r="A43" s="386" t="s">
        <v>352</v>
      </c>
      <c r="B43" s="380">
        <v>0.05</v>
      </c>
      <c r="I43" s="380">
        <v>0.05</v>
      </c>
    </row>
    <row r="44" spans="1:9" x14ac:dyDescent="0.2">
      <c r="A44" t="s">
        <v>353</v>
      </c>
      <c r="B44" s="376">
        <v>30</v>
      </c>
      <c r="I44" s="376">
        <v>30</v>
      </c>
    </row>
    <row r="45" spans="1:9" x14ac:dyDescent="0.2">
      <c r="B45" t="s">
        <v>135</v>
      </c>
    </row>
    <row r="46" spans="1:9" ht="16" x14ac:dyDescent="0.2">
      <c r="A46" s="364" t="s">
        <v>349</v>
      </c>
    </row>
    <row r="47" spans="1:9" x14ac:dyDescent="0.2">
      <c r="A47" t="s">
        <v>350</v>
      </c>
      <c r="B47" s="380">
        <v>0</v>
      </c>
      <c r="I47" s="40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B85B5-40C1-444D-8862-4C73CC37C835}">
  <sheetPr>
    <tabColor theme="7" tint="-0.249977111117893"/>
  </sheetPr>
  <dimension ref="A1:N48"/>
  <sheetViews>
    <sheetView workbookViewId="0">
      <selection activeCell="E19" sqref="E19"/>
    </sheetView>
  </sheetViews>
  <sheetFormatPr baseColWidth="10" defaultRowHeight="15" x14ac:dyDescent="0.2"/>
  <cols>
    <col min="2" max="2" width="17.6640625" customWidth="1"/>
    <col min="4" max="4" width="12.6640625" customWidth="1"/>
    <col min="5" max="14" width="14.33203125" bestFit="1" customWidth="1"/>
  </cols>
  <sheetData>
    <row r="1" spans="1:14" x14ac:dyDescent="0.2">
      <c r="A1" s="402" t="s">
        <v>112</v>
      </c>
      <c r="B1" s="402"/>
      <c r="C1" s="402"/>
      <c r="D1" s="402"/>
      <c r="E1" s="402"/>
    </row>
    <row r="3" spans="1:14" ht="16" x14ac:dyDescent="0.2">
      <c r="A3" s="411" t="s">
        <v>113</v>
      </c>
      <c r="B3" s="411"/>
      <c r="C3" s="412"/>
      <c r="D3" s="389" t="s">
        <v>114</v>
      </c>
      <c r="E3" s="49" t="s">
        <v>115</v>
      </c>
      <c r="F3" s="49" t="s">
        <v>116</v>
      </c>
      <c r="G3" s="49" t="s">
        <v>117</v>
      </c>
      <c r="H3" s="49" t="s">
        <v>118</v>
      </c>
      <c r="I3" s="49" t="s">
        <v>119</v>
      </c>
      <c r="J3" s="49" t="s">
        <v>120</v>
      </c>
      <c r="K3" s="49" t="s">
        <v>121</v>
      </c>
      <c r="L3" s="49" t="s">
        <v>122</v>
      </c>
      <c r="M3" s="49" t="s">
        <v>123</v>
      </c>
      <c r="N3" s="49" t="s">
        <v>124</v>
      </c>
    </row>
    <row r="4" spans="1:14" ht="16" x14ac:dyDescent="0.2">
      <c r="A4" s="411"/>
      <c r="B4" s="411"/>
      <c r="C4" s="412"/>
      <c r="D4" s="49" t="s">
        <v>125</v>
      </c>
      <c r="E4" s="49">
        <v>2030</v>
      </c>
      <c r="F4" s="49">
        <f>E4+1</f>
        <v>2031</v>
      </c>
      <c r="G4" s="49">
        <f t="shared" ref="G4:N4" si="0">F4+1</f>
        <v>2032</v>
      </c>
      <c r="H4" s="49">
        <f t="shared" si="0"/>
        <v>2033</v>
      </c>
      <c r="I4" s="49">
        <f t="shared" si="0"/>
        <v>2034</v>
      </c>
      <c r="J4" s="49">
        <f t="shared" si="0"/>
        <v>2035</v>
      </c>
      <c r="K4" s="49">
        <f t="shared" si="0"/>
        <v>2036</v>
      </c>
      <c r="L4" s="49">
        <f t="shared" si="0"/>
        <v>2037</v>
      </c>
      <c r="M4" s="49">
        <f t="shared" si="0"/>
        <v>2038</v>
      </c>
      <c r="N4" s="49">
        <f t="shared" si="0"/>
        <v>2039</v>
      </c>
    </row>
    <row r="5" spans="1:14" ht="16" x14ac:dyDescent="0.2">
      <c r="B5" s="50" t="s">
        <v>126</v>
      </c>
      <c r="D5" s="51"/>
      <c r="E5" s="52">
        <f>'INPUT DATA  Assumptions'!D4</f>
        <v>10493</v>
      </c>
      <c r="F5" s="52">
        <f>'INPUT DATA  Assumptions'!E4</f>
        <v>10648</v>
      </c>
      <c r="G5" s="52">
        <f>'INPUT DATA  Assumptions'!F4</f>
        <v>10806</v>
      </c>
      <c r="H5" s="52">
        <f>'INPUT DATA  Assumptions'!G4</f>
        <v>10966</v>
      </c>
      <c r="I5" s="52">
        <f>'INPUT DATA  Assumptions'!H4</f>
        <v>11128</v>
      </c>
      <c r="J5" s="52">
        <f>'INPUT DATA  Assumptions'!I4</f>
        <v>11292</v>
      </c>
      <c r="K5" s="52">
        <f>'INPUT DATA  Assumptions'!J4</f>
        <v>11443</v>
      </c>
      <c r="L5" s="52">
        <f>'INPUT DATA  Assumptions'!K4</f>
        <v>11596</v>
      </c>
      <c r="M5" s="52">
        <f>'INPUT DATA  Assumptions'!L4</f>
        <v>11751</v>
      </c>
      <c r="N5" s="52">
        <f>'INPUT DATA  Assumptions'!M4</f>
        <v>11908</v>
      </c>
    </row>
    <row r="6" spans="1:14" ht="16" x14ac:dyDescent="0.2">
      <c r="B6" s="388" t="s">
        <v>127</v>
      </c>
      <c r="D6" s="51"/>
      <c r="E6" s="54">
        <f>'INPUT DATA  Assumptions'!D5</f>
        <v>0</v>
      </c>
      <c r="F6" s="54">
        <f>'INPUT DATA  Assumptions'!E5</f>
        <v>0</v>
      </c>
      <c r="G6" s="54">
        <f>'INPUT DATA  Assumptions'!F5</f>
        <v>0</v>
      </c>
      <c r="H6" s="54">
        <f>'INPUT DATA  Assumptions'!G5</f>
        <v>0</v>
      </c>
      <c r="I6" s="54">
        <f>'INPUT DATA  Assumptions'!H5</f>
        <v>0</v>
      </c>
      <c r="J6" s="54">
        <f>'INPUT DATA  Assumptions'!I5</f>
        <v>0</v>
      </c>
      <c r="K6" s="54">
        <f>'INPUT DATA  Assumptions'!J5</f>
        <v>0</v>
      </c>
      <c r="L6" s="54">
        <f>'INPUT DATA  Assumptions'!K5</f>
        <v>0</v>
      </c>
      <c r="M6" s="54">
        <f>'INPUT DATA  Assumptions'!L5</f>
        <v>0</v>
      </c>
      <c r="N6" s="54">
        <f>'INPUT DATA  Assumptions'!M5</f>
        <v>0</v>
      </c>
    </row>
    <row r="7" spans="1:14" ht="16" x14ac:dyDescent="0.2">
      <c r="B7" s="388" t="s">
        <v>128</v>
      </c>
      <c r="D7" s="51"/>
      <c r="E7" s="54">
        <f>'INPUT DATA  Assumptions'!D6</f>
        <v>8557477.4654371049</v>
      </c>
      <c r="F7" s="54">
        <f>'INPUT DATA  Assumptions'!E6</f>
        <v>8621012.6144975442</v>
      </c>
      <c r="G7" s="54">
        <f>'INPUT DATA  Assumptions'!F6</f>
        <v>8741461.1599224471</v>
      </c>
      <c r="H7" s="54">
        <f>'INPUT DATA  Assumptions'!G6</f>
        <v>8865025.3754268438</v>
      </c>
      <c r="I7" s="54">
        <f>'INPUT DATA  Assumptions'!H6</f>
        <v>8991863.2877929471</v>
      </c>
      <c r="J7" s="54">
        <f>'INPUT DATA  Assumptions'!I6</f>
        <v>9122144.7668600623</v>
      </c>
      <c r="K7" s="54">
        <f>'INPUT DATA  Assumptions'!J6</f>
        <v>9246266.6553549841</v>
      </c>
      <c r="L7" s="54">
        <f>'INPUT DATA  Assumptions'!K6</f>
        <v>9373936.7118941117</v>
      </c>
      <c r="M7" s="54">
        <f>'INPUT DATA  Assumptions'!L6</f>
        <v>9505360.8295061346</v>
      </c>
      <c r="N7" s="54">
        <f>'INPUT DATA  Assumptions'!M6</f>
        <v>9640761.1311731022</v>
      </c>
    </row>
    <row r="8" spans="1:14" ht="16" x14ac:dyDescent="0.2">
      <c r="B8" s="388" t="s">
        <v>129</v>
      </c>
      <c r="D8" s="51"/>
      <c r="E8" s="54">
        <f>'INPUT DATA  Assumptions'!D7</f>
        <v>6689710.3818814605</v>
      </c>
      <c r="F8" s="54">
        <f>'INPUT DATA  Assumptions'!E7</f>
        <v>5685015.8845522841</v>
      </c>
      <c r="G8" s="54">
        <f>'INPUT DATA  Assumptions'!F7</f>
        <v>5753992.5342754284</v>
      </c>
      <c r="H8" s="54">
        <f>'INPUT DATA  Assumptions'!G7</f>
        <v>5824193.7114466252</v>
      </c>
      <c r="I8" s="54">
        <f>'INPUT DATA  Assumptions'!H7</f>
        <v>5895652.2264810456</v>
      </c>
      <c r="J8" s="54">
        <f>'INPUT DATA  Assumptions'!I7</f>
        <v>5967804.2841779059</v>
      </c>
      <c r="K8" s="54">
        <f>'INPUT DATA  Assumptions'!J7</f>
        <v>6035096.3677078476</v>
      </c>
      <c r="L8" s="54">
        <f>'INPUT DATA  Assumptions'!K7</f>
        <v>6103550.5503775533</v>
      </c>
      <c r="M8" s="54">
        <f>'INPUT DATA  Assumptions'!L7</f>
        <v>6173202.0844443031</v>
      </c>
      <c r="N8" s="54">
        <f>'INPUT DATA  Assumptions'!M7</f>
        <v>6244088.2771906499</v>
      </c>
    </row>
    <row r="9" spans="1:14" ht="16" x14ac:dyDescent="0.2">
      <c r="D9" s="51"/>
      <c r="E9" s="51"/>
      <c r="F9" s="51"/>
      <c r="G9" s="51"/>
      <c r="H9" s="51"/>
      <c r="I9" s="51"/>
    </row>
    <row r="10" spans="1:14" ht="16" x14ac:dyDescent="0.2">
      <c r="A10" s="55" t="s">
        <v>130</v>
      </c>
      <c r="B10" s="55"/>
      <c r="C10" s="55"/>
      <c r="D10" s="55"/>
      <c r="E10" s="56">
        <f>E11*E12*E13</f>
        <v>10416191.24</v>
      </c>
      <c r="F10" s="56">
        <f t="shared" ref="F10:N10" si="1">F11*F12*F13</f>
        <v>11098559.471999999</v>
      </c>
      <c r="G10" s="56">
        <f t="shared" si="1"/>
        <v>11826407.338200001</v>
      </c>
      <c r="H10" s="56">
        <f t="shared" si="1"/>
        <v>12601591.894710001</v>
      </c>
      <c r="I10" s="56">
        <f t="shared" si="1"/>
        <v>13427142.106014002</v>
      </c>
      <c r="J10" s="56">
        <f t="shared" si="1"/>
        <v>14306277.237074552</v>
      </c>
      <c r="K10" s="56">
        <f t="shared" si="1"/>
        <v>15222464.306149159</v>
      </c>
      <c r="L10" s="56">
        <f t="shared" si="1"/>
        <v>16197297.989933668</v>
      </c>
      <c r="M10" s="56">
        <f t="shared" si="1"/>
        <v>17234492.162271135</v>
      </c>
      <c r="N10" s="56">
        <f t="shared" si="1"/>
        <v>18337992.451854385</v>
      </c>
    </row>
    <row r="11" spans="1:14" x14ac:dyDescent="0.2">
      <c r="B11" t="s">
        <v>131</v>
      </c>
      <c r="C11" t="s">
        <v>135</v>
      </c>
      <c r="E11" s="57">
        <f>'INPUT DATA  Assumptions'!D16</f>
        <v>41.972000000000001</v>
      </c>
      <c r="F11" s="57">
        <f>'INPUT DATA  Assumptions'!E16</f>
        <v>42.591999999999999</v>
      </c>
      <c r="G11" s="57">
        <f>'INPUT DATA  Assumptions'!F16</f>
        <v>43.223999999999997</v>
      </c>
      <c r="H11" s="57">
        <f>'INPUT DATA  Assumptions'!G16</f>
        <v>43.863999999999997</v>
      </c>
      <c r="I11" s="57">
        <f>'INPUT DATA  Assumptions'!H16</f>
        <v>44.512</v>
      </c>
      <c r="J11" s="57">
        <f>'INPUT DATA  Assumptions'!I16</f>
        <v>45.167999999999999</v>
      </c>
      <c r="K11" s="57">
        <f>'INPUT DATA  Assumptions'!J16</f>
        <v>45.771999999999998</v>
      </c>
      <c r="L11" s="57">
        <f>'INPUT DATA  Assumptions'!K16</f>
        <v>46.384</v>
      </c>
      <c r="M11" s="57">
        <f>'INPUT DATA  Assumptions'!L16</f>
        <v>47.003999999999998</v>
      </c>
      <c r="N11" s="57">
        <f>'INPUT DATA  Assumptions'!M16</f>
        <v>47.631999999999998</v>
      </c>
    </row>
    <row r="12" spans="1:14" x14ac:dyDescent="0.2">
      <c r="B12" t="s">
        <v>132</v>
      </c>
      <c r="C12" t="s">
        <v>135</v>
      </c>
      <c r="E12" s="53">
        <f>'INPUT DATA  Assumptions'!D17</f>
        <v>19090</v>
      </c>
      <c r="F12" s="53">
        <f>'INPUT DATA  Assumptions'!E17</f>
        <v>20044.5</v>
      </c>
      <c r="G12" s="53">
        <f>'INPUT DATA  Assumptions'!F17</f>
        <v>21046.725000000002</v>
      </c>
      <c r="H12" s="53">
        <f>'INPUT DATA  Assumptions'!G17</f>
        <v>22099.061250000002</v>
      </c>
      <c r="I12" s="53">
        <f>'INPUT DATA  Assumptions'!H17</f>
        <v>23204.014312500003</v>
      </c>
      <c r="J12" s="53">
        <f>'INPUT DATA  Assumptions'!I17</f>
        <v>24364.215028125003</v>
      </c>
      <c r="K12" s="53">
        <f>'INPUT DATA  Assumptions'!J17</f>
        <v>25582.425779531255</v>
      </c>
      <c r="L12" s="53">
        <f>'INPUT DATA  Assumptions'!K17</f>
        <v>26861.547068507818</v>
      </c>
      <c r="M12" s="53">
        <f>'INPUT DATA  Assumptions'!L17</f>
        <v>28204.624421933211</v>
      </c>
      <c r="N12" s="53">
        <f>'INPUT DATA  Assumptions'!M17</f>
        <v>29614.855643029874</v>
      </c>
    </row>
    <row r="13" spans="1:14" x14ac:dyDescent="0.2">
      <c r="B13" t="s">
        <v>133</v>
      </c>
      <c r="C13" t="s">
        <v>135</v>
      </c>
      <c r="E13">
        <v>13</v>
      </c>
      <c r="F13">
        <v>13</v>
      </c>
      <c r="G13">
        <v>13</v>
      </c>
      <c r="H13">
        <v>13</v>
      </c>
      <c r="I13">
        <v>13</v>
      </c>
      <c r="J13">
        <v>13</v>
      </c>
      <c r="K13">
        <v>13</v>
      </c>
      <c r="L13">
        <v>13</v>
      </c>
      <c r="M13">
        <v>13</v>
      </c>
      <c r="N13">
        <v>13</v>
      </c>
    </row>
    <row r="14" spans="1:14" x14ac:dyDescent="0.2">
      <c r="H14" t="s">
        <v>135</v>
      </c>
    </row>
    <row r="15" spans="1:14" ht="16" x14ac:dyDescent="0.2">
      <c r="A15" s="55" t="s">
        <v>136</v>
      </c>
      <c r="B15" s="55"/>
      <c r="C15" s="55"/>
      <c r="D15" s="55"/>
      <c r="E15" s="56">
        <f>E16*E17</f>
        <v>87835897.314103588</v>
      </c>
      <c r="F15" s="56">
        <f t="shared" ref="F15:N15" si="2">F16*F17</f>
        <v>78376471.492380083</v>
      </c>
      <c r="G15" s="56">
        <f t="shared" si="2"/>
        <v>83293788.97747761</v>
      </c>
      <c r="H15" s="56">
        <f t="shared" si="2"/>
        <v>88525509.379651949</v>
      </c>
      <c r="I15" s="56">
        <f t="shared" si="2"/>
        <v>94092233.955268502</v>
      </c>
      <c r="J15" s="56">
        <f t="shared" si="2"/>
        <v>100005939.30950768</v>
      </c>
      <c r="K15" s="56">
        <f t="shared" si="2"/>
        <v>106190271.15382703</v>
      </c>
      <c r="L15" s="56">
        <f t="shared" si="2"/>
        <v>112764491.3815088</v>
      </c>
      <c r="M15" s="56">
        <f t="shared" si="2"/>
        <v>119753885.36182433</v>
      </c>
      <c r="N15" s="56">
        <f t="shared" si="2"/>
        <v>127185456.19963562</v>
      </c>
    </row>
    <row r="16" spans="1:14" ht="16" x14ac:dyDescent="0.2">
      <c r="B16" t="s">
        <v>137</v>
      </c>
      <c r="D16" s="58" t="s">
        <v>135</v>
      </c>
      <c r="E16" s="53">
        <f>E8</f>
        <v>6689710.3818814605</v>
      </c>
      <c r="F16" s="53">
        <f t="shared" ref="F16:N16" si="3">F8</f>
        <v>5685015.8845522841</v>
      </c>
      <c r="G16" s="53">
        <f t="shared" si="3"/>
        <v>5753992.5342754284</v>
      </c>
      <c r="H16" s="53">
        <f t="shared" si="3"/>
        <v>5824193.7114466252</v>
      </c>
      <c r="I16" s="53">
        <f t="shared" si="3"/>
        <v>5895652.2264810456</v>
      </c>
      <c r="J16" s="53">
        <f t="shared" si="3"/>
        <v>5967804.2841779059</v>
      </c>
      <c r="K16" s="53">
        <f t="shared" si="3"/>
        <v>6035096.3677078476</v>
      </c>
      <c r="L16" s="53">
        <f t="shared" si="3"/>
        <v>6103550.5503775533</v>
      </c>
      <c r="M16" s="53">
        <f t="shared" si="3"/>
        <v>6173202.0844443031</v>
      </c>
      <c r="N16" s="53">
        <f t="shared" si="3"/>
        <v>6244088.2771906499</v>
      </c>
    </row>
    <row r="17" spans="1:14" ht="16" x14ac:dyDescent="0.2">
      <c r="B17" t="s">
        <v>138</v>
      </c>
      <c r="C17" s="59" t="s">
        <v>135</v>
      </c>
      <c r="D17" s="60" t="s">
        <v>135</v>
      </c>
      <c r="E17" s="61">
        <f>'INPUT DATA  Assumptions'!D18</f>
        <v>13.13</v>
      </c>
      <c r="F17" s="61">
        <f>'INPUT DATA  Assumptions'!E18</f>
        <v>13.786500000000002</v>
      </c>
      <c r="G17" s="61">
        <f>'INPUT DATA  Assumptions'!F18</f>
        <v>14.475825000000002</v>
      </c>
      <c r="H17" s="61">
        <f>'INPUT DATA  Assumptions'!G18</f>
        <v>15.199616250000004</v>
      </c>
      <c r="I17" s="61">
        <f>'INPUT DATA  Assumptions'!H18</f>
        <v>15.959597062500004</v>
      </c>
      <c r="J17" s="61">
        <f>'INPUT DATA  Assumptions'!I18</f>
        <v>16.757576915625005</v>
      </c>
      <c r="K17" s="61">
        <f>'INPUT DATA  Assumptions'!J18</f>
        <v>17.595455761406257</v>
      </c>
      <c r="L17" s="61">
        <f>'INPUT DATA  Assumptions'!K18</f>
        <v>18.475228549476569</v>
      </c>
      <c r="M17" s="61">
        <f>'INPUT DATA  Assumptions'!L18</f>
        <v>19.398989976950396</v>
      </c>
      <c r="N17" s="61">
        <f>'INPUT DATA  Assumptions'!M18</f>
        <v>20.368939475797916</v>
      </c>
    </row>
    <row r="18" spans="1:14" ht="16" x14ac:dyDescent="0.2">
      <c r="C18" s="59"/>
      <c r="D18" s="60" t="s">
        <v>135</v>
      </c>
    </row>
    <row r="19" spans="1:14" ht="16" x14ac:dyDescent="0.2">
      <c r="A19" s="55" t="s">
        <v>139</v>
      </c>
      <c r="B19" s="55"/>
      <c r="C19" s="62"/>
      <c r="D19" s="55"/>
      <c r="E19" s="56">
        <f>E20*E21</f>
        <v>0</v>
      </c>
      <c r="F19" s="56">
        <f t="shared" ref="F19:N19" si="4">F20*F21</f>
        <v>0</v>
      </c>
      <c r="G19" s="56">
        <f t="shared" si="4"/>
        <v>0</v>
      </c>
      <c r="H19" s="56">
        <f t="shared" si="4"/>
        <v>0</v>
      </c>
      <c r="I19" s="56">
        <f t="shared" si="4"/>
        <v>0</v>
      </c>
      <c r="J19" s="56">
        <f t="shared" si="4"/>
        <v>0</v>
      </c>
      <c r="K19" s="56">
        <f t="shared" si="4"/>
        <v>0</v>
      </c>
      <c r="L19" s="56">
        <f t="shared" si="4"/>
        <v>0</v>
      </c>
      <c r="M19" s="56">
        <f t="shared" si="4"/>
        <v>0</v>
      </c>
      <c r="N19" s="56">
        <f t="shared" si="4"/>
        <v>0</v>
      </c>
    </row>
    <row r="20" spans="1:14" x14ac:dyDescent="0.2">
      <c r="B20" t="s">
        <v>140</v>
      </c>
      <c r="C20" s="59"/>
      <c r="D20" s="53">
        <v>0</v>
      </c>
      <c r="E20" s="53">
        <f>E6</f>
        <v>0</v>
      </c>
      <c r="F20" s="53">
        <f t="shared" ref="F20:N20" si="5">F6</f>
        <v>0</v>
      </c>
      <c r="G20" s="53">
        <f t="shared" si="5"/>
        <v>0</v>
      </c>
      <c r="H20" s="53">
        <f t="shared" si="5"/>
        <v>0</v>
      </c>
      <c r="I20" s="53">
        <f t="shared" si="5"/>
        <v>0</v>
      </c>
      <c r="J20" s="53">
        <f t="shared" si="5"/>
        <v>0</v>
      </c>
      <c r="K20" s="53">
        <f t="shared" si="5"/>
        <v>0</v>
      </c>
      <c r="L20" s="53">
        <f t="shared" si="5"/>
        <v>0</v>
      </c>
      <c r="M20" s="53">
        <f t="shared" si="5"/>
        <v>0</v>
      </c>
      <c r="N20" s="53">
        <f t="shared" si="5"/>
        <v>0</v>
      </c>
    </row>
    <row r="21" spans="1:14" x14ac:dyDescent="0.2">
      <c r="B21" t="s">
        <v>141</v>
      </c>
      <c r="C21" s="59" t="s">
        <v>135</v>
      </c>
      <c r="D21" t="s">
        <v>135</v>
      </c>
      <c r="E21" s="61">
        <f>'INPUT DATA  Assumptions'!D19</f>
        <v>0.5</v>
      </c>
      <c r="F21" s="61">
        <f>'INPUT DATA  Assumptions'!E19</f>
        <v>0.52500000000000002</v>
      </c>
      <c r="G21" s="61">
        <f>'INPUT DATA  Assumptions'!F19</f>
        <v>0.55125000000000002</v>
      </c>
      <c r="H21" s="61">
        <f>'INPUT DATA  Assumptions'!G19</f>
        <v>0.57881250000000006</v>
      </c>
      <c r="I21" s="61">
        <f>'INPUT DATA  Assumptions'!H19</f>
        <v>0.60775312500000012</v>
      </c>
      <c r="J21" s="61">
        <f>'INPUT DATA  Assumptions'!I19</f>
        <v>0.63814078125000018</v>
      </c>
      <c r="K21" s="61">
        <f>'INPUT DATA  Assumptions'!J19</f>
        <v>0.67004782031250021</v>
      </c>
      <c r="L21" s="61">
        <f>'INPUT DATA  Assumptions'!K19</f>
        <v>0.70355021132812523</v>
      </c>
      <c r="M21" s="61">
        <f>'INPUT DATA  Assumptions'!L19</f>
        <v>0.73872772189453151</v>
      </c>
      <c r="N21" s="61">
        <f>'INPUT DATA  Assumptions'!M19</f>
        <v>0.77566410798925811</v>
      </c>
    </row>
    <row r="22" spans="1:14" x14ac:dyDescent="0.2">
      <c r="C22" s="59"/>
    </row>
    <row r="23" spans="1:14" ht="16" x14ac:dyDescent="0.2">
      <c r="A23" s="55" t="s">
        <v>142</v>
      </c>
      <c r="B23" s="55"/>
      <c r="C23" s="62"/>
      <c r="D23" s="55"/>
      <c r="E23" s="56">
        <f>E24*E25</f>
        <v>132790751.080347</v>
      </c>
      <c r="F23" s="56">
        <f t="shared" ref="F23:N23" si="6">F24*F25</f>
        <v>112847565.30836284</v>
      </c>
      <c r="G23" s="56">
        <f t="shared" si="6"/>
        <v>114216751.80536726</v>
      </c>
      <c r="H23" s="56">
        <f t="shared" si="6"/>
        <v>115610245.17221552</v>
      </c>
      <c r="I23" s="56">
        <f t="shared" si="6"/>
        <v>117028696.69564876</v>
      </c>
      <c r="J23" s="56">
        <f t="shared" si="6"/>
        <v>153969350.53178999</v>
      </c>
      <c r="K23" s="56">
        <f t="shared" si="6"/>
        <v>155705486.28686246</v>
      </c>
      <c r="L23" s="56">
        <f t="shared" si="6"/>
        <v>157471604.19974089</v>
      </c>
      <c r="M23" s="56">
        <f t="shared" si="6"/>
        <v>159268613.77866301</v>
      </c>
      <c r="N23" s="56">
        <f t="shared" si="6"/>
        <v>161097477.55151877</v>
      </c>
    </row>
    <row r="24" spans="1:14" x14ac:dyDescent="0.2">
      <c r="B24" s="63" t="s">
        <v>143</v>
      </c>
      <c r="C24" s="64" t="s">
        <v>135</v>
      </c>
      <c r="D24" s="53">
        <v>0</v>
      </c>
      <c r="E24" s="57">
        <f t="shared" ref="E24:N24" si="7">E8</f>
        <v>6689710.3818814605</v>
      </c>
      <c r="F24" s="57">
        <f t="shared" si="7"/>
        <v>5685015.8845522841</v>
      </c>
      <c r="G24" s="57">
        <f t="shared" si="7"/>
        <v>5753992.5342754284</v>
      </c>
      <c r="H24" s="57">
        <f t="shared" si="7"/>
        <v>5824193.7114466252</v>
      </c>
      <c r="I24" s="57">
        <f t="shared" si="7"/>
        <v>5895652.2264810456</v>
      </c>
      <c r="J24" s="57">
        <f t="shared" si="7"/>
        <v>5967804.2841779059</v>
      </c>
      <c r="K24" s="57">
        <f t="shared" si="7"/>
        <v>6035096.3677078476</v>
      </c>
      <c r="L24" s="57">
        <f t="shared" si="7"/>
        <v>6103550.5503775533</v>
      </c>
      <c r="M24" s="57">
        <f t="shared" si="7"/>
        <v>6173202.0844443031</v>
      </c>
      <c r="N24" s="57">
        <f t="shared" si="7"/>
        <v>6244088.2771906499</v>
      </c>
    </row>
    <row r="25" spans="1:14" x14ac:dyDescent="0.2">
      <c r="B25" t="s">
        <v>144</v>
      </c>
      <c r="C25" s="59"/>
      <c r="E25" s="34">
        <f>'INPUT DATA  Assumptions'!D20</f>
        <v>19.850000000000001</v>
      </c>
      <c r="F25" s="34">
        <f>'INPUT DATA  Assumptions'!E20</f>
        <v>19.850000000000001</v>
      </c>
      <c r="G25" s="34">
        <f>'INPUT DATA  Assumptions'!F20</f>
        <v>19.850000000000001</v>
      </c>
      <c r="H25" s="34">
        <f>'INPUT DATA  Assumptions'!G20</f>
        <v>19.850000000000001</v>
      </c>
      <c r="I25" s="34">
        <f>'INPUT DATA  Assumptions'!H20</f>
        <v>19.850000000000001</v>
      </c>
      <c r="J25" s="65">
        <f>'INPUT DATA  Assumptions'!I21</f>
        <v>25.8</v>
      </c>
      <c r="K25" s="65">
        <f>'INPUT DATA  Assumptions'!J21</f>
        <v>25.8</v>
      </c>
      <c r="L25" s="65">
        <f>'INPUT DATA  Assumptions'!K21</f>
        <v>25.8</v>
      </c>
      <c r="M25" s="65">
        <f>'INPUT DATA  Assumptions'!L21</f>
        <v>25.8</v>
      </c>
      <c r="N25" s="65">
        <f>'INPUT DATA  Assumptions'!M21</f>
        <v>25.8</v>
      </c>
    </row>
    <row r="26" spans="1:14" x14ac:dyDescent="0.2">
      <c r="B26" t="s">
        <v>135</v>
      </c>
      <c r="C26" s="59"/>
    </row>
    <row r="27" spans="1:14" ht="16" x14ac:dyDescent="0.2">
      <c r="A27" s="55" t="s">
        <v>145</v>
      </c>
      <c r="B27" s="55"/>
      <c r="C27" s="55"/>
      <c r="D27" s="55"/>
      <c r="E27" s="56">
        <f>E28*E29</f>
        <v>11552141.98172253</v>
      </c>
      <c r="F27" s="56">
        <f t="shared" ref="F27:N27" si="8">F28*F29</f>
        <v>10116129.813637147</v>
      </c>
      <c r="G27" s="56">
        <f t="shared" si="8"/>
        <v>10466847.406052245</v>
      </c>
      <c r="H27" s="56">
        <f t="shared" si="8"/>
        <v>10836867.322328875</v>
      </c>
      <c r="I27" s="56">
        <f t="shared" si="8"/>
        <v>11227403.637846563</v>
      </c>
      <c r="J27" s="56">
        <f t="shared" si="8"/>
        <v>13414078.353918612</v>
      </c>
      <c r="K27" s="56">
        <f t="shared" si="8"/>
        <v>13855911.087341933</v>
      </c>
      <c r="L27" s="56">
        <f t="shared" si="8"/>
        <v>14321669.678559167</v>
      </c>
      <c r="M27" s="56">
        <f t="shared" si="8"/>
        <v>14812849.565137923</v>
      </c>
      <c r="N27" s="56">
        <f t="shared" si="8"/>
        <v>15331046.310150439</v>
      </c>
    </row>
    <row r="28" spans="1:14" x14ac:dyDescent="0.2">
      <c r="B28" t="s">
        <v>146</v>
      </c>
      <c r="E28" s="57">
        <f t="shared" ref="E28:N28" si="9">E10+E15+E19+E23</f>
        <v>231042839.63445058</v>
      </c>
      <c r="F28" s="57">
        <f t="shared" si="9"/>
        <v>202322596.27274293</v>
      </c>
      <c r="G28" s="57">
        <f t="shared" si="9"/>
        <v>209336948.12104487</v>
      </c>
      <c r="H28" s="57">
        <f t="shared" si="9"/>
        <v>216737346.44657749</v>
      </c>
      <c r="I28" s="57">
        <f t="shared" si="9"/>
        <v>224548072.75693125</v>
      </c>
      <c r="J28" s="57">
        <f t="shared" si="9"/>
        <v>268281567.07837224</v>
      </c>
      <c r="K28" s="57">
        <f t="shared" si="9"/>
        <v>277118221.74683863</v>
      </c>
      <c r="L28" s="57">
        <f t="shared" si="9"/>
        <v>286433393.57118332</v>
      </c>
      <c r="M28" s="57">
        <f t="shared" si="9"/>
        <v>296256991.30275846</v>
      </c>
      <c r="N28" s="57">
        <f t="shared" si="9"/>
        <v>306620926.20300877</v>
      </c>
    </row>
    <row r="29" spans="1:14" x14ac:dyDescent="0.2">
      <c r="B29" s="63" t="s">
        <v>135</v>
      </c>
      <c r="C29" t="s">
        <v>135</v>
      </c>
      <c r="E29" s="66">
        <f>'INPUT DATA  Assumptions'!D22</f>
        <v>0.05</v>
      </c>
      <c r="F29" s="66">
        <f>'INPUT DATA  Assumptions'!E22</f>
        <v>0.05</v>
      </c>
      <c r="G29" s="66">
        <f>'INPUT DATA  Assumptions'!F22</f>
        <v>0.05</v>
      </c>
      <c r="H29" s="66">
        <f>'INPUT DATA  Assumptions'!G22</f>
        <v>0.05</v>
      </c>
      <c r="I29" s="66">
        <f>'INPUT DATA  Assumptions'!H22</f>
        <v>0.05</v>
      </c>
      <c r="J29" s="66">
        <f>'INPUT DATA  Assumptions'!I22</f>
        <v>0.05</v>
      </c>
      <c r="K29" s="66">
        <f>'INPUT DATA  Assumptions'!J22</f>
        <v>0.05</v>
      </c>
      <c r="L29" s="66">
        <f>'INPUT DATA  Assumptions'!K22</f>
        <v>0.05</v>
      </c>
      <c r="M29" s="66">
        <f>'INPUT DATA  Assumptions'!L22</f>
        <v>0.05</v>
      </c>
      <c r="N29" s="66">
        <f>'INPUT DATA  Assumptions'!M22</f>
        <v>0.05</v>
      </c>
    </row>
    <row r="30" spans="1:14" x14ac:dyDescent="0.2">
      <c r="B30" s="63"/>
      <c r="C30" s="64"/>
      <c r="E30" s="57"/>
      <c r="F30" s="57"/>
      <c r="G30" s="57"/>
      <c r="H30" s="57"/>
      <c r="I30" s="57"/>
    </row>
    <row r="31" spans="1:14" ht="16" x14ac:dyDescent="0.2">
      <c r="A31" s="55" t="s">
        <v>147</v>
      </c>
      <c r="B31" s="55"/>
      <c r="C31" s="55"/>
      <c r="D31" s="55"/>
      <c r="E31" s="56">
        <f>E32*E33</f>
        <v>24259498.161617313</v>
      </c>
      <c r="F31" s="56">
        <f t="shared" ref="F31:N31" si="10">F32*F33</f>
        <v>21243872.608638007</v>
      </c>
      <c r="G31" s="56">
        <f t="shared" si="10"/>
        <v>21980379.552709714</v>
      </c>
      <c r="H31" s="56">
        <f t="shared" si="10"/>
        <v>22757421.376890637</v>
      </c>
      <c r="I31" s="56">
        <f t="shared" si="10"/>
        <v>23577547.639477782</v>
      </c>
      <c r="J31" s="56">
        <f t="shared" si="10"/>
        <v>28169564.543229088</v>
      </c>
      <c r="K31" s="56">
        <f t="shared" si="10"/>
        <v>29097413.283418056</v>
      </c>
      <c r="L31" s="56">
        <f t="shared" si="10"/>
        <v>30075506.324974254</v>
      </c>
      <c r="M31" s="56">
        <f t="shared" si="10"/>
        <v>31106984.086789638</v>
      </c>
      <c r="N31" s="56">
        <f t="shared" si="10"/>
        <v>32195197.251315922</v>
      </c>
    </row>
    <row r="32" spans="1:14" ht="16" x14ac:dyDescent="0.2">
      <c r="A32" s="67"/>
      <c r="B32" t="s">
        <v>148</v>
      </c>
      <c r="C32" t="s">
        <v>135</v>
      </c>
      <c r="D32" s="67"/>
      <c r="E32" s="57">
        <f t="shared" ref="E32:N32" si="11">E10+E15+E19+E23+E27</f>
        <v>242594981.61617312</v>
      </c>
      <c r="F32" s="57">
        <f t="shared" si="11"/>
        <v>212438726.08638006</v>
      </c>
      <c r="G32" s="57">
        <f t="shared" si="11"/>
        <v>219803795.52709711</v>
      </c>
      <c r="H32" s="57">
        <f t="shared" si="11"/>
        <v>227574213.76890635</v>
      </c>
      <c r="I32" s="57">
        <f t="shared" si="11"/>
        <v>235775476.3947778</v>
      </c>
      <c r="J32" s="57">
        <f t="shared" si="11"/>
        <v>281695645.43229085</v>
      </c>
      <c r="K32" s="57">
        <f t="shared" si="11"/>
        <v>290974132.83418053</v>
      </c>
      <c r="L32" s="57">
        <f t="shared" si="11"/>
        <v>300755063.24974251</v>
      </c>
      <c r="M32" s="57">
        <f t="shared" si="11"/>
        <v>311069840.86789638</v>
      </c>
      <c r="N32" s="57">
        <f t="shared" si="11"/>
        <v>321951972.51315922</v>
      </c>
    </row>
    <row r="33" spans="1:14" ht="16" x14ac:dyDescent="0.2">
      <c r="A33" s="67"/>
      <c r="B33" s="67"/>
      <c r="C33" t="s">
        <v>135</v>
      </c>
      <c r="D33" s="67"/>
      <c r="E33" s="68">
        <f>'INPUT DATA  Assumptions'!D23</f>
        <v>0.1</v>
      </c>
      <c r="F33" s="68">
        <f>'INPUT DATA  Assumptions'!E23</f>
        <v>0.1</v>
      </c>
      <c r="G33" s="68">
        <f>'INPUT DATA  Assumptions'!F23</f>
        <v>0.1</v>
      </c>
      <c r="H33" s="68">
        <f>'INPUT DATA  Assumptions'!G23</f>
        <v>0.1</v>
      </c>
      <c r="I33" s="68">
        <f>'INPUT DATA  Assumptions'!H23</f>
        <v>0.1</v>
      </c>
      <c r="J33" s="68">
        <f>'INPUT DATA  Assumptions'!I23</f>
        <v>0.1</v>
      </c>
      <c r="K33" s="68">
        <f>'INPUT DATA  Assumptions'!J23</f>
        <v>0.1</v>
      </c>
      <c r="L33" s="68">
        <f>'INPUT DATA  Assumptions'!K23</f>
        <v>0.1</v>
      </c>
      <c r="M33" s="68">
        <f>'INPUT DATA  Assumptions'!L23</f>
        <v>0.1</v>
      </c>
      <c r="N33" s="68">
        <f>'INPUT DATA  Assumptions'!M23</f>
        <v>0.1</v>
      </c>
    </row>
    <row r="34" spans="1:14" ht="16" x14ac:dyDescent="0.2">
      <c r="A34" s="67"/>
      <c r="B34" s="67"/>
      <c r="D34" s="67"/>
      <c r="E34" s="68"/>
      <c r="F34" s="68"/>
      <c r="G34" s="68"/>
      <c r="H34" s="68"/>
      <c r="I34" s="68"/>
      <c r="J34" s="68"/>
      <c r="K34" s="68"/>
      <c r="L34" s="68"/>
      <c r="M34" s="68"/>
      <c r="N34" s="68"/>
    </row>
    <row r="35" spans="1:14" ht="19" x14ac:dyDescent="0.25">
      <c r="A35" s="69" t="s">
        <v>149</v>
      </c>
      <c r="B35" s="69"/>
      <c r="C35" s="69"/>
      <c r="D35" s="69"/>
      <c r="E35" s="70">
        <f t="shared" ref="E35:N35" si="12">E10+E15+E19+E23+E27+E31</f>
        <v>266854479.77779043</v>
      </c>
      <c r="F35" s="70">
        <f t="shared" si="12"/>
        <v>233682598.69501808</v>
      </c>
      <c r="G35" s="70">
        <f t="shared" si="12"/>
        <v>241784175.0798068</v>
      </c>
      <c r="H35" s="70">
        <f t="shared" si="12"/>
        <v>250331635.14579698</v>
      </c>
      <c r="I35" s="70">
        <f t="shared" si="12"/>
        <v>259353024.03425559</v>
      </c>
      <c r="J35" s="70">
        <f t="shared" si="12"/>
        <v>309865209.97551996</v>
      </c>
      <c r="K35" s="70">
        <f t="shared" si="12"/>
        <v>320071546.11759859</v>
      </c>
      <c r="L35" s="70">
        <f t="shared" si="12"/>
        <v>330830569.57471675</v>
      </c>
      <c r="M35" s="70">
        <f t="shared" si="12"/>
        <v>342176824.95468605</v>
      </c>
      <c r="N35" s="70">
        <f t="shared" si="12"/>
        <v>354147169.76447511</v>
      </c>
    </row>
    <row r="36" spans="1:14" ht="16" x14ac:dyDescent="0.2">
      <c r="A36" s="71"/>
      <c r="B36" s="71"/>
      <c r="C36" s="71"/>
      <c r="D36" s="71"/>
      <c r="E36" s="72"/>
      <c r="F36" s="72"/>
      <c r="G36" s="72"/>
      <c r="H36" s="72"/>
      <c r="I36" s="72"/>
    </row>
    <row r="37" spans="1:14" ht="16" x14ac:dyDescent="0.2">
      <c r="A37" s="55" t="s">
        <v>150</v>
      </c>
      <c r="B37" s="55"/>
      <c r="C37" s="55"/>
      <c r="D37" s="55"/>
      <c r="E37" s="56">
        <f>E35/12*2</f>
        <v>44475746.629631735</v>
      </c>
      <c r="F37" s="56">
        <f t="shared" ref="F37:N37" si="13">F35/12*2</f>
        <v>38947099.782503016</v>
      </c>
      <c r="G37" s="56">
        <f t="shared" si="13"/>
        <v>40297362.513301134</v>
      </c>
      <c r="H37" s="56">
        <f t="shared" si="13"/>
        <v>41721939.190966167</v>
      </c>
      <c r="I37" s="56">
        <f t="shared" si="13"/>
        <v>43225504.005709268</v>
      </c>
      <c r="J37" s="56">
        <f t="shared" si="13"/>
        <v>51644201.662586659</v>
      </c>
      <c r="K37" s="56">
        <f t="shared" si="13"/>
        <v>53345257.68626643</v>
      </c>
      <c r="L37" s="56">
        <f t="shared" si="13"/>
        <v>55138428.262452789</v>
      </c>
      <c r="M37" s="56">
        <f t="shared" si="13"/>
        <v>57029470.82578101</v>
      </c>
      <c r="N37" s="56">
        <f t="shared" si="13"/>
        <v>59024528.294079185</v>
      </c>
    </row>
    <row r="38" spans="1:14" ht="16" x14ac:dyDescent="0.2">
      <c r="A38" s="71"/>
      <c r="B38" s="71"/>
      <c r="C38" s="71"/>
      <c r="D38" s="71"/>
      <c r="E38" s="72"/>
      <c r="F38" s="72"/>
      <c r="G38" s="72"/>
      <c r="H38" s="72"/>
      <c r="I38" s="72"/>
      <c r="J38" s="73"/>
    </row>
    <row r="39" spans="1:14" ht="16" x14ac:dyDescent="0.2">
      <c r="A39" s="55" t="s">
        <v>359</v>
      </c>
      <c r="B39" s="55"/>
      <c r="C39" s="55"/>
      <c r="D39" s="55"/>
      <c r="E39" s="56">
        <f>'DEPRCTN SCHED'!F35</f>
        <v>23169711.959957719</v>
      </c>
      <c r="F39" s="56">
        <f>'DEPRCTN SCHED'!G35</f>
        <v>23169711.959957719</v>
      </c>
      <c r="G39" s="56">
        <f>'DEPRCTN SCHED'!H35</f>
        <v>23169711.959957719</v>
      </c>
      <c r="H39" s="56">
        <f>'DEPRCTN SCHED'!I35</f>
        <v>23169711.959957719</v>
      </c>
      <c r="I39" s="56">
        <f>'DEPRCTN SCHED'!J35</f>
        <v>23169711.959957719</v>
      </c>
      <c r="J39" s="56">
        <f>'DEPRCTN SCHED'!K35</f>
        <v>27731986.426245682</v>
      </c>
      <c r="K39" s="56">
        <f>'DEPRCTN SCHED'!L35</f>
        <v>27731986.426245682</v>
      </c>
      <c r="L39" s="56">
        <f>'DEPRCTN SCHED'!M35</f>
        <v>27731986.426245682</v>
      </c>
      <c r="M39" s="56">
        <f>'DEPRCTN SCHED'!N35</f>
        <v>27731986.426245682</v>
      </c>
      <c r="N39" s="56">
        <f>'DEPRCTN SCHED'!O35</f>
        <v>27731986.426245682</v>
      </c>
    </row>
    <row r="40" spans="1:14" x14ac:dyDescent="0.2">
      <c r="B40" t="s">
        <v>135</v>
      </c>
      <c r="C40" s="74" t="s">
        <v>135</v>
      </c>
      <c r="E40" s="57" t="s">
        <v>135</v>
      </c>
      <c r="F40" s="57" t="s">
        <v>135</v>
      </c>
      <c r="G40" s="57" t="s">
        <v>135</v>
      </c>
      <c r="H40" s="57" t="s">
        <v>135</v>
      </c>
      <c r="I40" s="57" t="s">
        <v>135</v>
      </c>
    </row>
    <row r="41" spans="1:14" x14ac:dyDescent="0.2">
      <c r="C41" s="74"/>
      <c r="E41" s="57"/>
      <c r="F41" s="57"/>
      <c r="G41" s="57"/>
      <c r="H41" s="57"/>
      <c r="I41" s="57"/>
    </row>
    <row r="42" spans="1:14" ht="16" x14ac:dyDescent="0.2">
      <c r="A42" s="75" t="s">
        <v>152</v>
      </c>
      <c r="B42" s="75"/>
      <c r="C42" s="76"/>
      <c r="D42" s="75"/>
      <c r="E42" s="77">
        <f>'AMORT SCHED'!C16</f>
        <v>0</v>
      </c>
      <c r="F42" s="77">
        <f>'AMORT SCHED'!D16</f>
        <v>0</v>
      </c>
      <c r="G42" s="77">
        <f>'AMORT SCHED'!E16</f>
        <v>0</v>
      </c>
      <c r="H42" s="77">
        <f>'AMORT SCHED'!F16</f>
        <v>0</v>
      </c>
      <c r="I42" s="77">
        <f>'AMORT SCHED'!G16</f>
        <v>0</v>
      </c>
      <c r="J42" s="77">
        <f>'AMORT SCHED'!H16</f>
        <v>0</v>
      </c>
      <c r="K42" s="77">
        <f>'AMORT SCHED'!I16</f>
        <v>0</v>
      </c>
      <c r="L42" s="77">
        <f>'AMORT SCHED'!J16</f>
        <v>0</v>
      </c>
      <c r="M42" s="77">
        <f>'AMORT SCHED'!K16</f>
        <v>0</v>
      </c>
      <c r="N42" s="77">
        <f>'AMORT SCHED'!L16</f>
        <v>0</v>
      </c>
    </row>
    <row r="43" spans="1:14" x14ac:dyDescent="0.2">
      <c r="C43" s="74"/>
      <c r="E43" s="57"/>
      <c r="F43" s="57"/>
      <c r="G43" s="57"/>
      <c r="H43" s="57"/>
      <c r="I43" s="57"/>
    </row>
    <row r="44" spans="1:14" x14ac:dyDescent="0.2">
      <c r="C44" s="74"/>
      <c r="E44" s="57"/>
      <c r="F44" s="57"/>
      <c r="G44" s="57"/>
      <c r="H44" s="57"/>
      <c r="I44" s="57"/>
    </row>
    <row r="45" spans="1:14" ht="16" x14ac:dyDescent="0.2">
      <c r="A45" s="55" t="s">
        <v>153</v>
      </c>
      <c r="B45" s="55"/>
      <c r="C45" s="55"/>
      <c r="D45" s="55"/>
      <c r="E45" s="56">
        <f>'TARIFF CALC'!D18</f>
        <v>0</v>
      </c>
      <c r="F45" s="56">
        <f>'TARIFF CALC'!E18</f>
        <v>0</v>
      </c>
      <c r="G45" s="56">
        <f>'TARIFF CALC'!F18</f>
        <v>0</v>
      </c>
      <c r="H45" s="56">
        <f>'TARIFF CALC'!G18</f>
        <v>0</v>
      </c>
      <c r="I45" s="56">
        <f>'TARIFF CALC'!H18</f>
        <v>0</v>
      </c>
      <c r="J45" s="78">
        <f>'TARIFF CALC'!K18</f>
        <v>0</v>
      </c>
      <c r="K45" s="78">
        <f>'TARIFF CALC'!L18</f>
        <v>0</v>
      </c>
      <c r="L45" s="78">
        <f>'TARIFF CALC'!M18</f>
        <v>0</v>
      </c>
      <c r="M45" s="78">
        <f>'TARIFF CALC'!N18</f>
        <v>0</v>
      </c>
      <c r="N45" s="78">
        <f>'TARIFF CALC'!O18</f>
        <v>0</v>
      </c>
    </row>
    <row r="46" spans="1:14" x14ac:dyDescent="0.2">
      <c r="B46" t="s">
        <v>135</v>
      </c>
      <c r="C46" t="s">
        <v>135</v>
      </c>
    </row>
    <row r="48" spans="1:14" ht="19" x14ac:dyDescent="0.25">
      <c r="A48" s="79" t="s">
        <v>154</v>
      </c>
      <c r="B48" s="79"/>
      <c r="C48" s="79"/>
      <c r="D48" s="80"/>
      <c r="E48" s="81">
        <f>E35+E37+E39+E42+E45</f>
        <v>334499938.3673799</v>
      </c>
      <c r="F48" s="81">
        <f t="shared" ref="F48:N48" si="14">F35+F37+F39+F42+F45</f>
        <v>295799410.43747884</v>
      </c>
      <c r="G48" s="81">
        <f t="shared" si="14"/>
        <v>305251249.55306566</v>
      </c>
      <c r="H48" s="81">
        <f t="shared" si="14"/>
        <v>315223286.29672086</v>
      </c>
      <c r="I48" s="81">
        <f t="shared" si="14"/>
        <v>325748239.99992257</v>
      </c>
      <c r="J48" s="81">
        <f t="shared" si="14"/>
        <v>389241398.06435227</v>
      </c>
      <c r="K48" s="81">
        <f t="shared" si="14"/>
        <v>401148790.2301107</v>
      </c>
      <c r="L48" s="81">
        <f t="shared" si="14"/>
        <v>413700984.26341522</v>
      </c>
      <c r="M48" s="81">
        <f t="shared" si="14"/>
        <v>426938282.20671272</v>
      </c>
      <c r="N48" s="81">
        <f t="shared" si="14"/>
        <v>440903684.48479998</v>
      </c>
    </row>
  </sheetData>
  <mergeCells count="2">
    <mergeCell ref="A3:B4"/>
    <mergeCell ref="C3:C4"/>
  </mergeCells>
  <conditionalFormatting sqref="B6:B8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64B2A-120C-DB4F-95B1-70268A61573F}">
  <sheetPr>
    <tabColor theme="7" tint="-0.249977111117893"/>
  </sheetPr>
  <dimension ref="A1:O38"/>
  <sheetViews>
    <sheetView topLeftCell="A13" workbookViewId="0">
      <selection activeCell="F9" sqref="F9"/>
    </sheetView>
  </sheetViews>
  <sheetFormatPr baseColWidth="10" defaultRowHeight="15" x14ac:dyDescent="0.2"/>
  <cols>
    <col min="1" max="1" width="14.5" customWidth="1"/>
    <col min="2" max="15" width="12.5" bestFit="1" customWidth="1"/>
  </cols>
  <sheetData>
    <row r="1" spans="1:15" ht="16" x14ac:dyDescent="0.2">
      <c r="A1" s="122" t="s">
        <v>195</v>
      </c>
      <c r="B1" s="122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</row>
    <row r="2" spans="1:15" ht="16" x14ac:dyDescent="0.2">
      <c r="A2" s="123" t="s">
        <v>196</v>
      </c>
      <c r="B2" s="123">
        <f>'INPUT DATA  Assumptions'!B24</f>
        <v>25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</row>
    <row r="3" spans="1:15" ht="16" x14ac:dyDescent="0.2">
      <c r="A3" s="123" t="s">
        <v>135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</row>
    <row r="4" spans="1:15" ht="34" x14ac:dyDescent="0.2">
      <c r="A4" s="391" t="s">
        <v>197</v>
      </c>
      <c r="B4" s="413" t="s">
        <v>198</v>
      </c>
      <c r="C4" s="414"/>
      <c r="D4" s="414"/>
      <c r="E4" s="415"/>
      <c r="F4" s="126" t="s">
        <v>199</v>
      </c>
      <c r="G4" s="126" t="s">
        <v>2</v>
      </c>
      <c r="H4" s="126" t="s">
        <v>3</v>
      </c>
      <c r="I4" s="126" t="s">
        <v>4</v>
      </c>
      <c r="J4" s="126" t="s">
        <v>5</v>
      </c>
      <c r="K4" s="126" t="s">
        <v>6</v>
      </c>
      <c r="L4" s="126" t="s">
        <v>7</v>
      </c>
      <c r="M4" s="126" t="s">
        <v>8</v>
      </c>
      <c r="N4" s="126" t="s">
        <v>9</v>
      </c>
      <c r="O4" s="126" t="s">
        <v>10</v>
      </c>
    </row>
    <row r="5" spans="1:15" ht="16" x14ac:dyDescent="0.2">
      <c r="A5" s="127">
        <v>2026</v>
      </c>
      <c r="B5" s="390">
        <f>B37/B2</f>
        <v>6762926.6921915123</v>
      </c>
      <c r="C5" s="390">
        <f>B5</f>
        <v>6762926.6921915123</v>
      </c>
      <c r="D5" s="390">
        <f t="shared" ref="D5:O5" si="0">C5</f>
        <v>6762926.6921915123</v>
      </c>
      <c r="E5" s="390">
        <f t="shared" si="0"/>
        <v>6762926.6921915123</v>
      </c>
      <c r="F5" s="390">
        <f t="shared" si="0"/>
        <v>6762926.6921915123</v>
      </c>
      <c r="G5" s="390">
        <f t="shared" si="0"/>
        <v>6762926.6921915123</v>
      </c>
      <c r="H5" s="390">
        <f t="shared" si="0"/>
        <v>6762926.6921915123</v>
      </c>
      <c r="I5" s="390">
        <f t="shared" si="0"/>
        <v>6762926.6921915123</v>
      </c>
      <c r="J5" s="390">
        <f t="shared" si="0"/>
        <v>6762926.6921915123</v>
      </c>
      <c r="K5" s="390">
        <f t="shared" si="0"/>
        <v>6762926.6921915123</v>
      </c>
      <c r="L5" s="390">
        <f t="shared" si="0"/>
        <v>6762926.6921915123</v>
      </c>
      <c r="M5" s="390">
        <f t="shared" si="0"/>
        <v>6762926.6921915123</v>
      </c>
      <c r="N5" s="390">
        <f t="shared" si="0"/>
        <v>6762926.6921915123</v>
      </c>
      <c r="O5" s="128">
        <f t="shared" si="0"/>
        <v>6762926.6921915123</v>
      </c>
    </row>
    <row r="6" spans="1:15" ht="16" x14ac:dyDescent="0.2">
      <c r="A6" s="127">
        <v>2027</v>
      </c>
      <c r="B6" s="390"/>
      <c r="C6" s="390">
        <f>C37/B2</f>
        <v>6518221.7595618926</v>
      </c>
      <c r="D6" s="390">
        <f>C6</f>
        <v>6518221.7595618926</v>
      </c>
      <c r="E6" s="390">
        <f t="shared" ref="E6:O6" si="1">D6</f>
        <v>6518221.7595618926</v>
      </c>
      <c r="F6" s="390">
        <f t="shared" si="1"/>
        <v>6518221.7595618926</v>
      </c>
      <c r="G6" s="390">
        <f t="shared" si="1"/>
        <v>6518221.7595618926</v>
      </c>
      <c r="H6" s="390">
        <f t="shared" si="1"/>
        <v>6518221.7595618926</v>
      </c>
      <c r="I6" s="390">
        <f t="shared" si="1"/>
        <v>6518221.7595618926</v>
      </c>
      <c r="J6" s="390">
        <f t="shared" si="1"/>
        <v>6518221.7595618926</v>
      </c>
      <c r="K6" s="390">
        <f t="shared" si="1"/>
        <v>6518221.7595618926</v>
      </c>
      <c r="L6" s="390">
        <f t="shared" si="1"/>
        <v>6518221.7595618926</v>
      </c>
      <c r="M6" s="390">
        <f t="shared" si="1"/>
        <v>6518221.7595618926</v>
      </c>
      <c r="N6" s="390">
        <f t="shared" si="1"/>
        <v>6518221.7595618926</v>
      </c>
      <c r="O6" s="128">
        <f t="shared" si="1"/>
        <v>6518221.7595618926</v>
      </c>
    </row>
    <row r="7" spans="1:15" ht="16" x14ac:dyDescent="0.2">
      <c r="A7" s="127">
        <v>2028</v>
      </c>
      <c r="B7" s="390"/>
      <c r="C7" s="390"/>
      <c r="D7" s="390">
        <f>D37/B2</f>
        <v>6102714.5723437369</v>
      </c>
      <c r="E7" s="390">
        <f>D7</f>
        <v>6102714.5723437369</v>
      </c>
      <c r="F7" s="390">
        <f t="shared" ref="F7:O7" si="2">E7</f>
        <v>6102714.5723437369</v>
      </c>
      <c r="G7" s="390">
        <f t="shared" si="2"/>
        <v>6102714.5723437369</v>
      </c>
      <c r="H7" s="390">
        <f t="shared" si="2"/>
        <v>6102714.5723437369</v>
      </c>
      <c r="I7" s="390">
        <f t="shared" si="2"/>
        <v>6102714.5723437369</v>
      </c>
      <c r="J7" s="390">
        <f t="shared" si="2"/>
        <v>6102714.5723437369</v>
      </c>
      <c r="K7" s="390">
        <f t="shared" si="2"/>
        <v>6102714.5723437369</v>
      </c>
      <c r="L7" s="390">
        <f t="shared" si="2"/>
        <v>6102714.5723437369</v>
      </c>
      <c r="M7" s="390">
        <f t="shared" si="2"/>
        <v>6102714.5723437369</v>
      </c>
      <c r="N7" s="390">
        <f t="shared" si="2"/>
        <v>6102714.5723437369</v>
      </c>
      <c r="O7" s="128">
        <f t="shared" si="2"/>
        <v>6102714.5723437369</v>
      </c>
    </row>
    <row r="8" spans="1:15" ht="16" x14ac:dyDescent="0.2">
      <c r="A8" s="127">
        <v>2029</v>
      </c>
      <c r="B8" s="390"/>
      <c r="C8" s="390"/>
      <c r="D8" s="390"/>
      <c r="E8" s="390">
        <f>E37/B2</f>
        <v>3785848.9358605766</v>
      </c>
      <c r="F8" s="390">
        <f>E8</f>
        <v>3785848.9358605766</v>
      </c>
      <c r="G8" s="390">
        <f t="shared" ref="G8:O8" si="3">F8</f>
        <v>3785848.9358605766</v>
      </c>
      <c r="H8" s="390">
        <f t="shared" si="3"/>
        <v>3785848.9358605766</v>
      </c>
      <c r="I8" s="390">
        <f t="shared" si="3"/>
        <v>3785848.9358605766</v>
      </c>
      <c r="J8" s="390">
        <f t="shared" si="3"/>
        <v>3785848.9358605766</v>
      </c>
      <c r="K8" s="390">
        <f t="shared" si="3"/>
        <v>3785848.9358605766</v>
      </c>
      <c r="L8" s="390">
        <f t="shared" si="3"/>
        <v>3785848.9358605766</v>
      </c>
      <c r="M8" s="390">
        <f t="shared" si="3"/>
        <v>3785848.9358605766</v>
      </c>
      <c r="N8" s="390">
        <f t="shared" si="3"/>
        <v>3785848.9358605766</v>
      </c>
      <c r="O8" s="128">
        <f t="shared" si="3"/>
        <v>3785848.9358605766</v>
      </c>
    </row>
    <row r="9" spans="1:15" ht="16" x14ac:dyDescent="0.2">
      <c r="A9" s="127">
        <v>2030</v>
      </c>
      <c r="B9" s="390"/>
      <c r="C9" s="390"/>
      <c r="D9" s="390"/>
      <c r="E9" s="390"/>
      <c r="F9" s="390">
        <f>F37/B2</f>
        <v>0</v>
      </c>
      <c r="G9" s="390">
        <f>F9</f>
        <v>0</v>
      </c>
      <c r="H9" s="390">
        <f t="shared" ref="H9:O9" si="4">G9</f>
        <v>0</v>
      </c>
      <c r="I9" s="390">
        <f t="shared" si="4"/>
        <v>0</v>
      </c>
      <c r="J9" s="390">
        <f t="shared" si="4"/>
        <v>0</v>
      </c>
      <c r="K9" s="390">
        <f t="shared" si="4"/>
        <v>0</v>
      </c>
      <c r="L9" s="390">
        <f t="shared" si="4"/>
        <v>0</v>
      </c>
      <c r="M9" s="390">
        <f t="shared" si="4"/>
        <v>0</v>
      </c>
      <c r="N9" s="390">
        <f t="shared" si="4"/>
        <v>0</v>
      </c>
      <c r="O9" s="128">
        <f t="shared" si="4"/>
        <v>0</v>
      </c>
    </row>
    <row r="10" spans="1:15" ht="16" x14ac:dyDescent="0.2">
      <c r="A10" s="127">
        <v>2031</v>
      </c>
      <c r="B10" s="390"/>
      <c r="C10" s="390"/>
      <c r="D10" s="390"/>
      <c r="E10" s="390"/>
      <c r="F10" s="390"/>
      <c r="G10" s="390">
        <f>G37/B2</f>
        <v>0</v>
      </c>
      <c r="H10" s="390">
        <f>G10</f>
        <v>0</v>
      </c>
      <c r="I10" s="390">
        <f t="shared" ref="I10:O10" si="5">H10</f>
        <v>0</v>
      </c>
      <c r="J10" s="390">
        <f t="shared" si="5"/>
        <v>0</v>
      </c>
      <c r="K10" s="390">
        <f t="shared" si="5"/>
        <v>0</v>
      </c>
      <c r="L10" s="390">
        <f t="shared" si="5"/>
        <v>0</v>
      </c>
      <c r="M10" s="390">
        <f t="shared" si="5"/>
        <v>0</v>
      </c>
      <c r="N10" s="390">
        <f t="shared" si="5"/>
        <v>0</v>
      </c>
      <c r="O10" s="128">
        <f t="shared" si="5"/>
        <v>0</v>
      </c>
    </row>
    <row r="11" spans="1:15" ht="16" x14ac:dyDescent="0.2">
      <c r="A11" s="127">
        <v>2032</v>
      </c>
      <c r="B11" s="390"/>
      <c r="C11" s="390"/>
      <c r="D11" s="390"/>
      <c r="E11" s="390"/>
      <c r="F11" s="390"/>
      <c r="G11" s="390"/>
      <c r="H11" s="390">
        <f>H37/B2</f>
        <v>0</v>
      </c>
      <c r="I11" s="390">
        <f>H11</f>
        <v>0</v>
      </c>
      <c r="J11" s="390">
        <f t="shared" ref="J11:O11" si="6">I11</f>
        <v>0</v>
      </c>
      <c r="K11" s="390">
        <f t="shared" si="6"/>
        <v>0</v>
      </c>
      <c r="L11" s="390">
        <f t="shared" si="6"/>
        <v>0</v>
      </c>
      <c r="M11" s="390">
        <f t="shared" si="6"/>
        <v>0</v>
      </c>
      <c r="N11" s="390">
        <f t="shared" si="6"/>
        <v>0</v>
      </c>
      <c r="O11" s="128">
        <f t="shared" si="6"/>
        <v>0</v>
      </c>
    </row>
    <row r="12" spans="1:15" ht="16" x14ac:dyDescent="0.2">
      <c r="A12" s="127">
        <v>2033</v>
      </c>
      <c r="B12" s="390"/>
      <c r="C12" s="390"/>
      <c r="D12" s="390"/>
      <c r="E12" s="390"/>
      <c r="F12" s="390"/>
      <c r="G12" s="390"/>
      <c r="H12" s="390"/>
      <c r="I12" s="390"/>
      <c r="J12" s="390">
        <f>J37/B2</f>
        <v>0</v>
      </c>
      <c r="K12" s="390">
        <f>J12</f>
        <v>0</v>
      </c>
      <c r="L12" s="390">
        <f t="shared" ref="L12:O12" si="7">K12</f>
        <v>0</v>
      </c>
      <c r="M12" s="390">
        <f t="shared" si="7"/>
        <v>0</v>
      </c>
      <c r="N12" s="390">
        <f t="shared" si="7"/>
        <v>0</v>
      </c>
      <c r="O12" s="128">
        <f t="shared" si="7"/>
        <v>0</v>
      </c>
    </row>
    <row r="13" spans="1:15" ht="16" x14ac:dyDescent="0.2">
      <c r="A13" s="127">
        <v>2034</v>
      </c>
      <c r="B13" s="390"/>
      <c r="C13" s="390"/>
      <c r="D13" s="390"/>
      <c r="E13" s="390"/>
      <c r="F13" s="390"/>
      <c r="G13" s="390"/>
      <c r="H13" s="390"/>
      <c r="I13" s="390"/>
      <c r="J13" s="390"/>
      <c r="K13" s="390">
        <f>K37/B2</f>
        <v>4562274.4662879631</v>
      </c>
      <c r="L13" s="390">
        <f>K13</f>
        <v>4562274.4662879631</v>
      </c>
      <c r="M13" s="390">
        <f t="shared" ref="M13:O13" si="8">L13</f>
        <v>4562274.4662879631</v>
      </c>
      <c r="N13" s="390">
        <f t="shared" si="8"/>
        <v>4562274.4662879631</v>
      </c>
      <c r="O13" s="128">
        <f t="shared" si="8"/>
        <v>4562274.4662879631</v>
      </c>
    </row>
    <row r="14" spans="1:15" ht="16" x14ac:dyDescent="0.2">
      <c r="A14" s="127">
        <v>2035</v>
      </c>
      <c r="B14" s="390"/>
      <c r="C14" s="390"/>
      <c r="D14" s="390"/>
      <c r="E14" s="390"/>
      <c r="F14" s="390"/>
      <c r="G14" s="390"/>
      <c r="H14" s="390"/>
      <c r="I14" s="390"/>
      <c r="J14" s="390"/>
      <c r="K14" s="390"/>
      <c r="L14" s="390">
        <f>L37/B2</f>
        <v>0</v>
      </c>
      <c r="M14" s="390">
        <f>L14</f>
        <v>0</v>
      </c>
      <c r="N14" s="390">
        <f t="shared" ref="N14:O14" si="9">M14</f>
        <v>0</v>
      </c>
      <c r="O14" s="128">
        <f t="shared" si="9"/>
        <v>0</v>
      </c>
    </row>
    <row r="15" spans="1:15" ht="16" x14ac:dyDescent="0.2">
      <c r="A15" s="127">
        <v>2036</v>
      </c>
      <c r="B15" s="390"/>
      <c r="C15" s="390"/>
      <c r="D15" s="390"/>
      <c r="E15" s="390"/>
      <c r="F15" s="390"/>
      <c r="G15" s="390"/>
      <c r="H15" s="390"/>
      <c r="I15" s="390"/>
      <c r="J15" s="390"/>
      <c r="K15" s="390"/>
      <c r="L15" s="390"/>
      <c r="M15" s="390">
        <f>M37/B2</f>
        <v>0</v>
      </c>
      <c r="N15" s="390">
        <f>M15</f>
        <v>0</v>
      </c>
      <c r="O15" s="128">
        <f>N15</f>
        <v>0</v>
      </c>
    </row>
    <row r="16" spans="1:15" ht="16" x14ac:dyDescent="0.2">
      <c r="A16" s="127">
        <v>2037</v>
      </c>
      <c r="B16" s="390"/>
      <c r="C16" s="390"/>
      <c r="D16" s="390"/>
      <c r="E16" s="390"/>
      <c r="F16" s="390"/>
      <c r="G16" s="390"/>
      <c r="H16" s="390"/>
      <c r="I16" s="390"/>
      <c r="J16" s="390"/>
      <c r="K16" s="390"/>
      <c r="L16" s="390"/>
      <c r="M16" s="390"/>
      <c r="N16" s="390">
        <f>N37/B2</f>
        <v>0</v>
      </c>
      <c r="O16" s="128">
        <f>N16</f>
        <v>0</v>
      </c>
    </row>
    <row r="17" spans="1:15" ht="16" x14ac:dyDescent="0.2">
      <c r="A17" s="127">
        <v>2038</v>
      </c>
      <c r="B17" s="390"/>
      <c r="C17" s="390"/>
      <c r="D17" s="390"/>
      <c r="E17" s="390"/>
      <c r="F17" s="390"/>
      <c r="G17" s="390"/>
      <c r="H17" s="390"/>
      <c r="I17" s="390"/>
      <c r="J17" s="390"/>
      <c r="K17" s="390"/>
      <c r="L17" s="390"/>
      <c r="M17" s="390"/>
      <c r="N17" s="390"/>
      <c r="O17" s="128">
        <f>O37/B2</f>
        <v>0</v>
      </c>
    </row>
    <row r="18" spans="1:15" ht="16" x14ac:dyDescent="0.2">
      <c r="A18" s="127">
        <v>2039</v>
      </c>
      <c r="B18" s="390"/>
      <c r="C18" s="390"/>
      <c r="D18" s="390"/>
      <c r="E18" s="390"/>
      <c r="F18" s="390"/>
      <c r="G18" s="390"/>
      <c r="H18" s="390"/>
      <c r="I18" s="390"/>
      <c r="J18" s="390"/>
      <c r="K18" s="390"/>
      <c r="L18" s="390"/>
      <c r="M18" s="390"/>
      <c r="N18" s="390"/>
      <c r="O18" s="128"/>
    </row>
    <row r="19" spans="1:15" ht="16" x14ac:dyDescent="0.2">
      <c r="A19" s="127">
        <v>2040</v>
      </c>
      <c r="B19" s="390"/>
      <c r="C19" s="390"/>
      <c r="D19" s="390"/>
      <c r="E19" s="390"/>
      <c r="F19" s="390"/>
      <c r="G19" s="390"/>
      <c r="H19" s="390"/>
      <c r="I19" s="390"/>
      <c r="J19" s="390"/>
      <c r="K19" s="390"/>
      <c r="L19" s="390"/>
      <c r="M19" s="390"/>
      <c r="N19" s="390"/>
      <c r="O19" s="128"/>
    </row>
    <row r="20" spans="1:15" ht="16" x14ac:dyDescent="0.2">
      <c r="A20" s="127">
        <v>2041</v>
      </c>
      <c r="B20" s="390"/>
      <c r="C20" s="390"/>
      <c r="D20" s="390"/>
      <c r="E20" s="390"/>
      <c r="F20" s="390"/>
      <c r="G20" s="390"/>
      <c r="H20" s="390"/>
      <c r="I20" s="390"/>
      <c r="J20" s="390"/>
      <c r="K20" s="390"/>
      <c r="L20" s="390"/>
      <c r="M20" s="390"/>
      <c r="N20" s="390"/>
      <c r="O20" s="128"/>
    </row>
    <row r="21" spans="1:15" ht="16" x14ac:dyDescent="0.2">
      <c r="A21" s="127">
        <v>2042</v>
      </c>
      <c r="B21" s="390"/>
      <c r="C21" s="390"/>
      <c r="D21" s="390"/>
      <c r="E21" s="390"/>
      <c r="F21" s="390"/>
      <c r="G21" s="390"/>
      <c r="H21" s="390"/>
      <c r="I21" s="390"/>
      <c r="J21" s="390"/>
      <c r="K21" s="390"/>
      <c r="L21" s="390"/>
      <c r="M21" s="390"/>
      <c r="N21" s="390"/>
      <c r="O21" s="128"/>
    </row>
    <row r="22" spans="1:15" ht="16" x14ac:dyDescent="0.2">
      <c r="A22" s="127">
        <v>2043</v>
      </c>
      <c r="B22" s="390"/>
      <c r="C22" s="390"/>
      <c r="D22" s="390"/>
      <c r="E22" s="390"/>
      <c r="F22" s="390"/>
      <c r="G22" s="390"/>
      <c r="H22" s="390"/>
      <c r="I22" s="390"/>
      <c r="J22" s="390"/>
      <c r="K22" s="390"/>
      <c r="L22" s="390"/>
      <c r="M22" s="390"/>
      <c r="N22" s="390"/>
      <c r="O22" s="128"/>
    </row>
    <row r="23" spans="1:15" ht="16" x14ac:dyDescent="0.2">
      <c r="A23" s="127">
        <v>2044</v>
      </c>
      <c r="B23" s="390"/>
      <c r="C23" s="390"/>
      <c r="D23" s="390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128"/>
    </row>
    <row r="24" spans="1:15" ht="16" x14ac:dyDescent="0.2">
      <c r="A24" s="127">
        <v>2045</v>
      </c>
      <c r="B24" s="390"/>
      <c r="C24" s="390"/>
      <c r="D24" s="390"/>
      <c r="E24" s="390"/>
      <c r="F24" s="390"/>
      <c r="G24" s="390"/>
      <c r="H24" s="390"/>
      <c r="I24" s="390"/>
      <c r="J24" s="390"/>
      <c r="K24" s="390"/>
      <c r="L24" s="390"/>
      <c r="M24" s="390"/>
      <c r="N24" s="390"/>
      <c r="O24" s="128"/>
    </row>
    <row r="25" spans="1:15" ht="16" x14ac:dyDescent="0.2">
      <c r="A25" s="127">
        <v>2046</v>
      </c>
      <c r="B25" s="390"/>
      <c r="C25" s="390"/>
      <c r="D25" s="390"/>
      <c r="E25" s="390"/>
      <c r="F25" s="390"/>
      <c r="G25" s="390"/>
      <c r="H25" s="390"/>
      <c r="I25" s="390"/>
      <c r="J25" s="390"/>
      <c r="K25" s="390"/>
      <c r="L25" s="390"/>
      <c r="M25" s="390"/>
      <c r="N25" s="390"/>
      <c r="O25" s="128"/>
    </row>
    <row r="26" spans="1:15" ht="16" x14ac:dyDescent="0.2">
      <c r="A26" s="127">
        <v>2047</v>
      </c>
      <c r="B26" s="390"/>
      <c r="C26" s="390"/>
      <c r="D26" s="390"/>
      <c r="E26" s="390"/>
      <c r="F26" s="390"/>
      <c r="G26" s="390"/>
      <c r="H26" s="390"/>
      <c r="I26" s="390"/>
      <c r="J26" s="390"/>
      <c r="K26" s="390"/>
      <c r="L26" s="390"/>
      <c r="M26" s="390"/>
      <c r="N26" s="390"/>
      <c r="O26" s="128"/>
    </row>
    <row r="27" spans="1:15" ht="16" x14ac:dyDescent="0.2">
      <c r="A27" s="127">
        <v>2048</v>
      </c>
      <c r="B27" s="390"/>
      <c r="C27" s="390"/>
      <c r="D27" s="390"/>
      <c r="E27" s="390"/>
      <c r="F27" s="390"/>
      <c r="G27" s="390"/>
      <c r="H27" s="390"/>
      <c r="I27" s="390"/>
      <c r="J27" s="390"/>
      <c r="K27" s="390"/>
      <c r="L27" s="390"/>
      <c r="M27" s="390"/>
      <c r="N27" s="390"/>
      <c r="O27" s="128"/>
    </row>
    <row r="28" spans="1:15" ht="16" x14ac:dyDescent="0.2">
      <c r="A28" s="127">
        <v>2049</v>
      </c>
      <c r="B28" s="390"/>
      <c r="C28" s="390"/>
      <c r="D28" s="390"/>
      <c r="E28" s="390"/>
      <c r="F28" s="390"/>
      <c r="G28" s="390"/>
      <c r="H28" s="390"/>
      <c r="I28" s="390"/>
      <c r="J28" s="390"/>
      <c r="K28" s="390"/>
      <c r="L28" s="390"/>
      <c r="M28" s="390"/>
      <c r="N28" s="390"/>
      <c r="O28" s="128"/>
    </row>
    <row r="29" spans="1:15" ht="16" x14ac:dyDescent="0.2">
      <c r="A29" s="127">
        <v>2050</v>
      </c>
      <c r="B29" s="390"/>
      <c r="C29" s="390"/>
      <c r="D29" s="390"/>
      <c r="E29" s="390"/>
      <c r="F29" s="390"/>
      <c r="G29" s="390"/>
      <c r="H29" s="390"/>
      <c r="I29" s="390"/>
      <c r="J29" s="390"/>
      <c r="K29" s="390"/>
      <c r="L29" s="390"/>
      <c r="M29" s="390"/>
      <c r="N29" s="390"/>
      <c r="O29" s="128"/>
    </row>
    <row r="30" spans="1:15" ht="16" x14ac:dyDescent="0.2">
      <c r="A30" s="127">
        <v>2051</v>
      </c>
      <c r="B30" s="390"/>
      <c r="C30" s="390"/>
      <c r="D30" s="390"/>
      <c r="E30" s="390"/>
      <c r="F30" s="390"/>
      <c r="G30" s="390"/>
      <c r="H30" s="390"/>
      <c r="I30" s="390"/>
      <c r="J30" s="390"/>
      <c r="K30" s="390"/>
      <c r="L30" s="390"/>
      <c r="M30" s="390"/>
      <c r="N30" s="390"/>
      <c r="O30" s="128"/>
    </row>
    <row r="31" spans="1:15" ht="16" x14ac:dyDescent="0.2">
      <c r="A31" s="127">
        <v>2052</v>
      </c>
      <c r="B31" s="390"/>
      <c r="C31" s="390"/>
      <c r="D31" s="390"/>
      <c r="E31" s="390"/>
      <c r="F31" s="390"/>
      <c r="G31" s="390"/>
      <c r="H31" s="390"/>
      <c r="I31" s="390"/>
      <c r="J31" s="390"/>
      <c r="K31" s="390"/>
      <c r="L31" s="390"/>
      <c r="M31" s="390"/>
      <c r="N31" s="390"/>
      <c r="O31" s="128"/>
    </row>
    <row r="32" spans="1:15" ht="16" x14ac:dyDescent="0.2">
      <c r="A32" s="127">
        <v>2053</v>
      </c>
      <c r="B32" s="390"/>
      <c r="C32" s="390"/>
      <c r="D32" s="390"/>
      <c r="E32" s="390"/>
      <c r="F32" s="390"/>
      <c r="G32" s="390"/>
      <c r="H32" s="390"/>
      <c r="I32" s="390"/>
      <c r="J32" s="390"/>
      <c r="K32" s="390"/>
      <c r="L32" s="390"/>
      <c r="M32" s="390"/>
      <c r="N32" s="390"/>
      <c r="O32" s="128"/>
    </row>
    <row r="33" spans="1:15" ht="16" x14ac:dyDescent="0.2">
      <c r="A33" s="127">
        <v>2054</v>
      </c>
      <c r="B33" s="390"/>
      <c r="C33" s="390"/>
      <c r="D33" s="390"/>
      <c r="E33" s="390"/>
      <c r="F33" s="390"/>
      <c r="G33" s="390"/>
      <c r="H33" s="390"/>
      <c r="I33" s="390"/>
      <c r="J33" s="390"/>
      <c r="K33" s="390"/>
      <c r="L33" s="390"/>
      <c r="M33" s="390"/>
      <c r="N33" s="390"/>
      <c r="O33" s="128"/>
    </row>
    <row r="34" spans="1:15" ht="16" x14ac:dyDescent="0.2">
      <c r="A34" s="129">
        <v>2055</v>
      </c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1"/>
    </row>
    <row r="35" spans="1:15" ht="34" x14ac:dyDescent="0.2">
      <c r="A35" s="393" t="s">
        <v>197</v>
      </c>
      <c r="B35" s="394">
        <f>SUM(B5:B34)</f>
        <v>6762926.6921915123</v>
      </c>
      <c r="C35" s="394">
        <f t="shared" ref="C35:O35" si="10">SUM(C5:C34)</f>
        <v>13281148.451753404</v>
      </c>
      <c r="D35" s="394">
        <f t="shared" si="10"/>
        <v>19383863.024097141</v>
      </c>
      <c r="E35" s="394">
        <f t="shared" si="10"/>
        <v>23169711.959957719</v>
      </c>
      <c r="F35" s="394">
        <f t="shared" si="10"/>
        <v>23169711.959957719</v>
      </c>
      <c r="G35" s="394">
        <f t="shared" si="10"/>
        <v>23169711.959957719</v>
      </c>
      <c r="H35" s="394">
        <f t="shared" si="10"/>
        <v>23169711.959957719</v>
      </c>
      <c r="I35" s="394">
        <f t="shared" si="10"/>
        <v>23169711.959957719</v>
      </c>
      <c r="J35" s="394">
        <f t="shared" si="10"/>
        <v>23169711.959957719</v>
      </c>
      <c r="K35" s="394">
        <f t="shared" si="10"/>
        <v>27731986.426245682</v>
      </c>
      <c r="L35" s="394">
        <f t="shared" si="10"/>
        <v>27731986.426245682</v>
      </c>
      <c r="M35" s="394">
        <f t="shared" si="10"/>
        <v>27731986.426245682</v>
      </c>
      <c r="N35" s="394">
        <f t="shared" si="10"/>
        <v>27731986.426245682</v>
      </c>
      <c r="O35" s="395">
        <f t="shared" si="10"/>
        <v>27731986.426245682</v>
      </c>
    </row>
    <row r="36" spans="1:15" ht="34" x14ac:dyDescent="0.2">
      <c r="A36" s="392" t="s">
        <v>200</v>
      </c>
      <c r="B36" s="396">
        <f>B35</f>
        <v>6762926.6921915123</v>
      </c>
      <c r="C36" s="396">
        <f>B36+C35</f>
        <v>20044075.143944915</v>
      </c>
      <c r="D36" s="396">
        <f>C36+D35</f>
        <v>39427938.168042056</v>
      </c>
      <c r="E36" s="396">
        <f t="shared" ref="E36:O36" si="11">D36+E35</f>
        <v>62597650.127999775</v>
      </c>
      <c r="F36" s="396">
        <f t="shared" si="11"/>
        <v>85767362.087957501</v>
      </c>
      <c r="G36" s="396">
        <f t="shared" si="11"/>
        <v>108937074.04791522</v>
      </c>
      <c r="H36" s="396">
        <f t="shared" si="11"/>
        <v>132106786.00787294</v>
      </c>
      <c r="I36" s="396">
        <f t="shared" si="11"/>
        <v>155276497.96783066</v>
      </c>
      <c r="J36" s="396">
        <f t="shared" si="11"/>
        <v>178446209.92778838</v>
      </c>
      <c r="K36" s="396">
        <f t="shared" si="11"/>
        <v>206178196.35403407</v>
      </c>
      <c r="L36" s="396">
        <f t="shared" si="11"/>
        <v>233910182.78027976</v>
      </c>
      <c r="M36" s="396">
        <f t="shared" si="11"/>
        <v>261642169.20652544</v>
      </c>
      <c r="N36" s="396">
        <f t="shared" si="11"/>
        <v>289374155.63277113</v>
      </c>
      <c r="O36" s="397">
        <f t="shared" si="11"/>
        <v>317106142.05901682</v>
      </c>
    </row>
    <row r="37" spans="1:15" ht="16" x14ac:dyDescent="0.2">
      <c r="A37" s="127" t="s">
        <v>201</v>
      </c>
      <c r="B37" s="390">
        <f>'Tagbilaran CAPEX&amp;OPEX_realistic'!D70</f>
        <v>169073167.30478781</v>
      </c>
      <c r="C37" s="390">
        <f>'Tagbilaran CAPEX&amp;OPEX_realistic'!E70</f>
        <v>162955543.98904732</v>
      </c>
      <c r="D37" s="390">
        <f>'Tagbilaran CAPEX&amp;OPEX_realistic'!F70</f>
        <v>152567864.30859342</v>
      </c>
      <c r="E37" s="390">
        <f>'Tagbilaran CAPEX&amp;OPEX_realistic'!G70</f>
        <v>94646223.396514416</v>
      </c>
      <c r="F37" s="390">
        <f>'Tagbilaran CAPEX&amp;OPEX_realistic'!H70</f>
        <v>0</v>
      </c>
      <c r="G37" s="390">
        <f>'Tagbilaran CAPEX&amp;OPEX_realistic'!I70</f>
        <v>0</v>
      </c>
      <c r="H37" s="390">
        <f>'Tagbilaran CAPEX&amp;OPEX_realistic'!J70</f>
        <v>0</v>
      </c>
      <c r="I37" s="390">
        <f>'Tagbilaran CAPEX&amp;OPEX_realistic'!K70</f>
        <v>0</v>
      </c>
      <c r="J37" s="390">
        <f>'Tagbilaran CAPEX&amp;OPEX_realistic'!L70</f>
        <v>0</v>
      </c>
      <c r="K37" s="390">
        <f>'Tagbilaran CAPEX&amp;OPEX_realistic'!M70</f>
        <v>114056861.65719908</v>
      </c>
      <c r="L37" s="390">
        <f>'Tagbilaran CAPEX&amp;OPEX_realistic'!N70</f>
        <v>0</v>
      </c>
      <c r="M37" s="390">
        <f>'Tagbilaran CAPEX&amp;OPEX_realistic'!O70</f>
        <v>0</v>
      </c>
      <c r="N37" s="390">
        <f>'Tagbilaran CAPEX&amp;OPEX_realistic'!P70</f>
        <v>0</v>
      </c>
      <c r="O37" s="128">
        <f>'Tagbilaran CAPEX&amp;OPEX_realistic'!Q70</f>
        <v>0</v>
      </c>
    </row>
    <row r="38" spans="1:15" ht="16" x14ac:dyDescent="0.2">
      <c r="A38" s="129" t="s">
        <v>360</v>
      </c>
      <c r="B38" s="130">
        <f>B37-B36</f>
        <v>162310240.6125963</v>
      </c>
      <c r="C38" s="130">
        <f>B37+C37-C36</f>
        <v>311984636.14989024</v>
      </c>
      <c r="D38" s="130">
        <f>SUM(B37:D37)-D36</f>
        <v>445168637.43438649</v>
      </c>
      <c r="E38" s="130">
        <f>SUM(B37:E37)-E36</f>
        <v>516645148.87094319</v>
      </c>
      <c r="F38" s="130">
        <f>SUM(B37:F37)-F36</f>
        <v>493475436.91098547</v>
      </c>
      <c r="G38" s="130">
        <f>SUM(B37:G37)-G36</f>
        <v>470305724.95102775</v>
      </c>
      <c r="H38" s="130">
        <f>SUM(B37:H37)-H36</f>
        <v>447136012.99107003</v>
      </c>
      <c r="I38" s="130">
        <f>SUM(B37:I37)-I36</f>
        <v>423966301.03111231</v>
      </c>
      <c r="J38" s="130">
        <f>SUM(B37:J37)-J36</f>
        <v>400796589.07115459</v>
      </c>
      <c r="K38" s="130">
        <f>SUM(B37:K37)-K36</f>
        <v>487121464.30210793</v>
      </c>
      <c r="L38" s="130">
        <f>SUM(B37:L37)-L36</f>
        <v>459389477.87586224</v>
      </c>
      <c r="M38" s="130">
        <f>SUM(B37:M37)-M36</f>
        <v>431657491.44961655</v>
      </c>
      <c r="N38" s="130">
        <f>SUM(B37:N37)-N36</f>
        <v>403925505.02337086</v>
      </c>
      <c r="O38" s="130">
        <f>SUM(B37:O37)-O36</f>
        <v>376193518.59712517</v>
      </c>
    </row>
  </sheetData>
  <mergeCells count="1">
    <mergeCell ref="B4:E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84269-ED14-DA41-BFBC-DA2BC1449AFD}">
  <sheetPr>
    <tabColor theme="7" tint="-0.249977111117893"/>
  </sheetPr>
  <dimension ref="A1:L19"/>
  <sheetViews>
    <sheetView workbookViewId="0">
      <selection activeCell="E24" sqref="E24"/>
    </sheetView>
  </sheetViews>
  <sheetFormatPr baseColWidth="10" defaultRowHeight="15" x14ac:dyDescent="0.2"/>
  <cols>
    <col min="1" max="1" width="17.1640625" customWidth="1"/>
    <col min="2" max="2" width="14.5" customWidth="1"/>
    <col min="3" max="7" width="12.1640625" bestFit="1" customWidth="1"/>
    <col min="8" max="8" width="13.6640625" bestFit="1" customWidth="1"/>
    <col min="9" max="11" width="12.1640625" bestFit="1" customWidth="1"/>
    <col min="12" max="12" width="12.6640625" bestFit="1" customWidth="1"/>
  </cols>
  <sheetData>
    <row r="1" spans="1:12" ht="16" x14ac:dyDescent="0.2">
      <c r="A1" s="75" t="s">
        <v>195</v>
      </c>
      <c r="B1" s="75"/>
    </row>
    <row r="3" spans="1:12" ht="51" x14ac:dyDescent="0.2">
      <c r="B3" s="85" t="s">
        <v>202</v>
      </c>
      <c r="C3" s="85" t="s">
        <v>158</v>
      </c>
      <c r="D3" s="85" t="s">
        <v>159</v>
      </c>
      <c r="E3" s="85" t="s">
        <v>160</v>
      </c>
      <c r="F3" s="85" t="s">
        <v>161</v>
      </c>
      <c r="G3" s="85" t="s">
        <v>162</v>
      </c>
      <c r="H3" s="85" t="s">
        <v>363</v>
      </c>
      <c r="I3" s="85" t="s">
        <v>164</v>
      </c>
      <c r="J3" s="85" t="s">
        <v>165</v>
      </c>
      <c r="K3" s="85" t="s">
        <v>166</v>
      </c>
      <c r="L3" s="85" t="s">
        <v>362</v>
      </c>
    </row>
    <row r="4" spans="1:12" ht="16" x14ac:dyDescent="0.2">
      <c r="A4" t="s">
        <v>0</v>
      </c>
      <c r="B4" s="132">
        <f>'INPUT DATA  Assumptions'!C10</f>
        <v>579242798.99894297</v>
      </c>
      <c r="C4" s="132">
        <f>'INPUT DATA  Assumptions'!D10</f>
        <v>0</v>
      </c>
      <c r="D4" s="132">
        <f>'INPUT DATA  Assumptions'!E10</f>
        <v>0</v>
      </c>
      <c r="E4" s="132">
        <f>'INPUT DATA  Assumptions'!F10</f>
        <v>0</v>
      </c>
      <c r="F4" s="132">
        <f>'INPUT DATA  Assumptions'!G10</f>
        <v>0</v>
      </c>
      <c r="G4" s="132">
        <f>'INPUT DATA  Assumptions'!H10</f>
        <v>0</v>
      </c>
      <c r="H4" s="132">
        <f>'INPUT DATA  Assumptions'!I10</f>
        <v>114056861.65719908</v>
      </c>
      <c r="I4" s="132">
        <f>'INPUT DATA  Assumptions'!J10</f>
        <v>0</v>
      </c>
      <c r="J4" s="132">
        <f>'INPUT DATA  Assumptions'!K10</f>
        <v>0</v>
      </c>
      <c r="K4" s="132">
        <f>'INPUT DATA  Assumptions'!L10</f>
        <v>0</v>
      </c>
      <c r="L4" s="132">
        <f>'INPUT DATA  Assumptions'!M10</f>
        <v>0</v>
      </c>
    </row>
    <row r="5" spans="1:12" x14ac:dyDescent="0.2">
      <c r="A5" t="s">
        <v>203</v>
      </c>
      <c r="B5" s="134" t="s">
        <v>135</v>
      </c>
      <c r="C5" s="134" t="s">
        <v>135</v>
      </c>
      <c r="D5" s="134" t="s">
        <v>135</v>
      </c>
      <c r="E5" s="134" t="s">
        <v>135</v>
      </c>
      <c r="F5" s="134" t="s">
        <v>135</v>
      </c>
      <c r="G5" s="134" t="s">
        <v>135</v>
      </c>
      <c r="H5" s="134" t="s">
        <v>135</v>
      </c>
      <c r="I5" s="134" t="s">
        <v>135</v>
      </c>
      <c r="J5" s="134" t="s">
        <v>135</v>
      </c>
      <c r="K5" s="134" t="s">
        <v>135</v>
      </c>
      <c r="L5" s="124"/>
    </row>
    <row r="6" spans="1:12" x14ac:dyDescent="0.2">
      <c r="A6" s="124" t="s">
        <v>204</v>
      </c>
      <c r="B6" s="135">
        <f>'INPUT DATA  Assumptions'!B40</f>
        <v>0</v>
      </c>
      <c r="C6" s="135">
        <v>0</v>
      </c>
      <c r="D6" s="135">
        <v>0</v>
      </c>
      <c r="E6" s="135">
        <v>0</v>
      </c>
      <c r="F6" s="135">
        <v>0</v>
      </c>
      <c r="G6" s="135">
        <v>0</v>
      </c>
      <c r="H6" s="135">
        <f>'INPUT DATA  Assumptions'!I40</f>
        <v>0</v>
      </c>
      <c r="I6" s="135">
        <v>0</v>
      </c>
      <c r="J6" s="135">
        <v>0</v>
      </c>
      <c r="K6" s="135">
        <v>0</v>
      </c>
      <c r="L6" s="135">
        <v>0</v>
      </c>
    </row>
    <row r="7" spans="1:12" x14ac:dyDescent="0.2">
      <c r="A7" s="124" t="s">
        <v>205</v>
      </c>
      <c r="B7" s="135">
        <f>'INPUT DATA  Assumptions'!B41</f>
        <v>1</v>
      </c>
      <c r="C7" s="135">
        <v>0</v>
      </c>
      <c r="D7" s="135">
        <v>0</v>
      </c>
      <c r="E7" s="135">
        <v>0</v>
      </c>
      <c r="F7" s="135">
        <v>0</v>
      </c>
      <c r="G7" s="135">
        <v>0</v>
      </c>
      <c r="H7" s="135">
        <f>'INPUT DATA  Assumptions'!I41</f>
        <v>1</v>
      </c>
      <c r="I7" s="135">
        <v>0</v>
      </c>
      <c r="J7" s="135">
        <v>0</v>
      </c>
      <c r="K7" s="135">
        <v>0</v>
      </c>
      <c r="L7" s="135">
        <v>0</v>
      </c>
    </row>
    <row r="8" spans="1:12" x14ac:dyDescent="0.2">
      <c r="A8" s="124" t="s">
        <v>206</v>
      </c>
      <c r="B8" s="135">
        <f>'INPUT DATA  Assumptions'!B42</f>
        <v>0</v>
      </c>
      <c r="C8" s="135">
        <v>0</v>
      </c>
      <c r="D8" s="135">
        <v>0</v>
      </c>
      <c r="E8" s="135">
        <v>0</v>
      </c>
      <c r="F8" s="135">
        <v>0</v>
      </c>
      <c r="G8" s="135">
        <v>0</v>
      </c>
      <c r="H8" s="135">
        <f>'INPUT DATA  Assumptions'!I42</f>
        <v>0</v>
      </c>
      <c r="I8" s="135">
        <v>0</v>
      </c>
      <c r="J8" s="135">
        <v>0</v>
      </c>
      <c r="K8" s="135">
        <v>0</v>
      </c>
      <c r="L8" s="135">
        <f>'[45]TARIFF CALC'!P7</f>
        <v>0</v>
      </c>
    </row>
    <row r="9" spans="1:12" x14ac:dyDescent="0.2">
      <c r="A9" s="124" t="s">
        <v>207</v>
      </c>
      <c r="B9" s="135">
        <f>'INPUT DATA  Assumptions'!B43</f>
        <v>0.05</v>
      </c>
      <c r="C9" s="135">
        <v>0</v>
      </c>
      <c r="D9" s="135">
        <f>'[45]TARIFF CALC'!E9</f>
        <v>0</v>
      </c>
      <c r="E9" s="135">
        <f>'[45]TARIFF CALC'!F9</f>
        <v>0</v>
      </c>
      <c r="F9" s="135">
        <f>'[45]TARIFF CALC'!G9</f>
        <v>0</v>
      </c>
      <c r="G9" s="135">
        <v>0</v>
      </c>
      <c r="H9" s="135">
        <f>'INPUT DATA  Assumptions'!I43</f>
        <v>0.05</v>
      </c>
      <c r="I9" s="135">
        <v>0</v>
      </c>
      <c r="J9" s="135">
        <f>'[45]TARIFF CALC'!N9</f>
        <v>0</v>
      </c>
      <c r="K9" s="135">
        <v>0</v>
      </c>
      <c r="L9" s="135">
        <f>'[45]TARIFF CALC'!P9</f>
        <v>0</v>
      </c>
    </row>
    <row r="10" spans="1:12" x14ac:dyDescent="0.2">
      <c r="A10" s="124" t="s">
        <v>208</v>
      </c>
      <c r="B10" s="398">
        <f>'INPUT DATA  Assumptions'!B44</f>
        <v>30</v>
      </c>
      <c r="C10" s="398">
        <f>'[45]TARIFF CALC'!D10</f>
        <v>0</v>
      </c>
      <c r="D10" s="398">
        <f>'[45]TARIFF CALC'!E10</f>
        <v>0</v>
      </c>
      <c r="E10" s="398">
        <f>'[45]TARIFF CALC'!F10</f>
        <v>0</v>
      </c>
      <c r="F10" s="398">
        <f>'[45]TARIFF CALC'!G10</f>
        <v>0</v>
      </c>
      <c r="G10" s="398">
        <f>'[45]TARIFF CALC'!H10</f>
        <v>0</v>
      </c>
      <c r="H10" s="398">
        <f>'INPUT DATA  Assumptions'!I44</f>
        <v>30</v>
      </c>
      <c r="I10" s="398">
        <v>0</v>
      </c>
      <c r="J10" s="398">
        <f>'[45]TARIFF CALC'!N10</f>
        <v>0</v>
      </c>
      <c r="K10" s="398">
        <f>'[45]TARIFF CALC'!O10</f>
        <v>0</v>
      </c>
      <c r="L10" s="398">
        <f>'[45]TARIFF CALC'!P10</f>
        <v>0</v>
      </c>
    </row>
    <row r="13" spans="1:12" ht="51" x14ac:dyDescent="0.2">
      <c r="A13" s="124" t="s">
        <v>209</v>
      </c>
      <c r="B13" s="85" t="s">
        <v>202</v>
      </c>
      <c r="C13" s="85" t="s">
        <v>158</v>
      </c>
      <c r="D13" s="85" t="s">
        <v>159</v>
      </c>
      <c r="E13" s="85" t="s">
        <v>160</v>
      </c>
      <c r="F13" s="85" t="s">
        <v>161</v>
      </c>
      <c r="G13" s="85" t="s">
        <v>162</v>
      </c>
      <c r="H13" s="85" t="s">
        <v>361</v>
      </c>
      <c r="I13" s="85" t="s">
        <v>164</v>
      </c>
      <c r="J13" s="85" t="s">
        <v>165</v>
      </c>
      <c r="K13" s="85" t="s">
        <v>166</v>
      </c>
      <c r="L13" s="85" t="s">
        <v>362</v>
      </c>
    </row>
    <row r="14" spans="1:12" x14ac:dyDescent="0.2">
      <c r="A14" s="124" t="s">
        <v>210</v>
      </c>
      <c r="B14" s="133">
        <f>B4*B6</f>
        <v>0</v>
      </c>
      <c r="C14" s="133">
        <f>C4*C6</f>
        <v>0</v>
      </c>
      <c r="D14" s="133">
        <f>D4*D6</f>
        <v>0</v>
      </c>
      <c r="E14" s="133">
        <v>0</v>
      </c>
      <c r="F14" s="133">
        <v>0</v>
      </c>
      <c r="G14" s="124"/>
      <c r="H14" s="136">
        <f>H4*H6</f>
        <v>0</v>
      </c>
      <c r="I14" s="124"/>
      <c r="J14" s="124"/>
      <c r="K14" s="124"/>
      <c r="L14" s="124"/>
    </row>
    <row r="15" spans="1:12" x14ac:dyDescent="0.2">
      <c r="A15" s="124" t="s">
        <v>211</v>
      </c>
      <c r="B15" s="133">
        <f>B14</f>
        <v>0</v>
      </c>
      <c r="C15" s="133">
        <f>B15+C14</f>
        <v>0</v>
      </c>
      <c r="D15" s="133">
        <f>C15+D14</f>
        <v>0</v>
      </c>
      <c r="E15" s="133">
        <v>0</v>
      </c>
      <c r="F15" s="133">
        <f>E15+F14</f>
        <v>0</v>
      </c>
      <c r="G15" s="124"/>
      <c r="H15" s="136">
        <f>H14</f>
        <v>0</v>
      </c>
      <c r="I15" s="124"/>
      <c r="J15" s="124"/>
      <c r="K15" s="124"/>
      <c r="L15" s="124"/>
    </row>
    <row r="16" spans="1:12" x14ac:dyDescent="0.2">
      <c r="A16" s="124" t="s">
        <v>212</v>
      </c>
      <c r="B16" s="133">
        <f>B15*B9</f>
        <v>0</v>
      </c>
      <c r="C16" s="133">
        <f>B19*B9</f>
        <v>0</v>
      </c>
      <c r="D16" s="133">
        <f>C19*B9</f>
        <v>0</v>
      </c>
      <c r="E16" s="133">
        <f>D19*B9</f>
        <v>0</v>
      </c>
      <c r="F16" s="133">
        <f>E19*B9</f>
        <v>0</v>
      </c>
      <c r="G16" s="133">
        <f>F19*B9</f>
        <v>0</v>
      </c>
      <c r="H16" s="133">
        <f>H15*H9</f>
        <v>0</v>
      </c>
      <c r="I16" s="133">
        <f>H19*H9</f>
        <v>0</v>
      </c>
      <c r="J16" s="133">
        <f>I19*H9</f>
        <v>0</v>
      </c>
      <c r="K16" s="133">
        <f>J19*H9</f>
        <v>0</v>
      </c>
      <c r="L16" s="136">
        <f>K19*H9</f>
        <v>0</v>
      </c>
    </row>
    <row r="17" spans="1:12" x14ac:dyDescent="0.2">
      <c r="A17" s="124" t="s">
        <v>213</v>
      </c>
      <c r="B17" s="133">
        <f t="shared" ref="B17:G17" si="0">B18-B16</f>
        <v>0</v>
      </c>
      <c r="C17" s="133">
        <f t="shared" si="0"/>
        <v>0</v>
      </c>
      <c r="D17" s="136">
        <f t="shared" si="0"/>
        <v>0</v>
      </c>
      <c r="E17" s="136">
        <f t="shared" si="0"/>
        <v>0</v>
      </c>
      <c r="F17" s="136">
        <f t="shared" si="0"/>
        <v>0</v>
      </c>
      <c r="G17" s="136">
        <f t="shared" si="0"/>
        <v>0</v>
      </c>
      <c r="H17" s="136">
        <f t="shared" ref="H17:L17" si="1">H18-H16</f>
        <v>0</v>
      </c>
      <c r="I17" s="136">
        <f t="shared" si="1"/>
        <v>0</v>
      </c>
      <c r="J17" s="136">
        <f t="shared" si="1"/>
        <v>0</v>
      </c>
      <c r="K17" s="136">
        <f t="shared" si="1"/>
        <v>0</v>
      </c>
      <c r="L17" s="136">
        <f t="shared" si="1"/>
        <v>0</v>
      </c>
    </row>
    <row r="18" spans="1:12" x14ac:dyDescent="0.2">
      <c r="A18" s="124" t="s">
        <v>214</v>
      </c>
      <c r="B18" s="133">
        <f>-PMT(B9,B10,B15)</f>
        <v>0</v>
      </c>
      <c r="C18" s="133">
        <f>B18</f>
        <v>0</v>
      </c>
      <c r="D18" s="133">
        <f>C18</f>
        <v>0</v>
      </c>
      <c r="E18" s="133">
        <f>D18</f>
        <v>0</v>
      </c>
      <c r="F18" s="133">
        <f>E18</f>
        <v>0</v>
      </c>
      <c r="G18" s="133">
        <f>F18</f>
        <v>0</v>
      </c>
      <c r="H18" s="133">
        <f>-PMT(H9,H10,H15)</f>
        <v>0</v>
      </c>
      <c r="I18" s="133">
        <f>H18</f>
        <v>0</v>
      </c>
      <c r="J18" s="133">
        <f>I18</f>
        <v>0</v>
      </c>
      <c r="K18" s="133">
        <f>J18</f>
        <v>0</v>
      </c>
      <c r="L18" s="136">
        <f>K18</f>
        <v>0</v>
      </c>
    </row>
    <row r="19" spans="1:12" x14ac:dyDescent="0.2">
      <c r="A19" s="124" t="s">
        <v>215</v>
      </c>
      <c r="B19" s="136">
        <f>B15-B17</f>
        <v>0</v>
      </c>
      <c r="C19" s="136">
        <f>B19-C17</f>
        <v>0</v>
      </c>
      <c r="D19" s="136">
        <f>D15-D17</f>
        <v>0</v>
      </c>
      <c r="E19" s="136">
        <f>D19-E17</f>
        <v>0</v>
      </c>
      <c r="F19" s="136">
        <f>E19-F17</f>
        <v>0</v>
      </c>
      <c r="G19" s="136">
        <f t="shared" ref="G19:L19" si="2">F19-G17</f>
        <v>0</v>
      </c>
      <c r="H19" s="136">
        <f>H15-H17</f>
        <v>0</v>
      </c>
      <c r="I19" s="136">
        <f t="shared" si="2"/>
        <v>0</v>
      </c>
      <c r="J19" s="136">
        <f t="shared" si="2"/>
        <v>0</v>
      </c>
      <c r="K19" s="136">
        <f t="shared" si="2"/>
        <v>0</v>
      </c>
      <c r="L19" s="136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A44E8-7227-CC4C-BEF8-2DD589DDD9AF}">
  <sheetPr>
    <tabColor theme="8" tint="0.39997558519241921"/>
  </sheetPr>
  <dimension ref="A1:Q39"/>
  <sheetViews>
    <sheetView workbookViewId="0">
      <selection activeCell="K19" sqref="K19"/>
    </sheetView>
  </sheetViews>
  <sheetFormatPr baseColWidth="10" defaultRowHeight="15" x14ac:dyDescent="0.2"/>
  <cols>
    <col min="1" max="1" width="24" customWidth="1"/>
    <col min="3" max="3" width="15" bestFit="1" customWidth="1"/>
    <col min="4" max="8" width="12.6640625" bestFit="1" customWidth="1"/>
    <col min="10" max="10" width="5.1640625" customWidth="1"/>
    <col min="11" max="15" width="12.5" bestFit="1" customWidth="1"/>
  </cols>
  <sheetData>
    <row r="1" spans="1:17" ht="38" x14ac:dyDescent="0.4">
      <c r="A1" s="82" t="s">
        <v>155</v>
      </c>
      <c r="B1" s="83"/>
      <c r="C1" s="83"/>
      <c r="D1" s="83"/>
      <c r="E1" s="83"/>
      <c r="F1" s="83"/>
      <c r="G1" s="83"/>
      <c r="H1" s="83"/>
      <c r="I1" s="83"/>
      <c r="J1" s="83"/>
      <c r="K1" s="82"/>
      <c r="L1" s="83"/>
      <c r="M1" s="83"/>
      <c r="N1" s="83"/>
      <c r="O1" s="83"/>
      <c r="P1" s="83"/>
      <c r="Q1" s="83"/>
    </row>
    <row r="2" spans="1:17" ht="38" x14ac:dyDescent="0.4">
      <c r="A2" s="82"/>
      <c r="B2" s="416" t="s">
        <v>156</v>
      </c>
      <c r="C2" s="416"/>
      <c r="D2" s="416"/>
      <c r="E2" s="416"/>
      <c r="F2" s="416"/>
      <c r="G2" s="416"/>
      <c r="H2" s="416"/>
      <c r="I2" s="83"/>
      <c r="J2" s="83"/>
      <c r="K2" s="416"/>
      <c r="L2" s="416"/>
      <c r="M2" s="416"/>
      <c r="N2" s="416"/>
      <c r="O2" s="416"/>
      <c r="P2" s="84"/>
      <c r="Q2" s="83"/>
    </row>
    <row r="3" spans="1:17" ht="51" x14ac:dyDescent="0.2">
      <c r="A3" s="417" t="s">
        <v>157</v>
      </c>
      <c r="B3" s="418"/>
      <c r="C3" s="400" t="s">
        <v>365</v>
      </c>
      <c r="D3" s="85" t="s">
        <v>158</v>
      </c>
      <c r="E3" s="85" t="s">
        <v>159</v>
      </c>
      <c r="F3" s="85" t="s">
        <v>160</v>
      </c>
      <c r="G3" s="85" t="s">
        <v>161</v>
      </c>
      <c r="H3" s="85" t="s">
        <v>162</v>
      </c>
      <c r="I3" s="86"/>
      <c r="J3" s="401"/>
      <c r="K3" s="85" t="s">
        <v>163</v>
      </c>
      <c r="L3" s="85" t="s">
        <v>164</v>
      </c>
      <c r="M3" s="85" t="s">
        <v>165</v>
      </c>
      <c r="N3" s="85" t="s">
        <v>166</v>
      </c>
      <c r="O3" s="85" t="s">
        <v>167</v>
      </c>
      <c r="P3" s="88"/>
      <c r="Q3" s="89"/>
    </row>
    <row r="4" spans="1:17" ht="16" x14ac:dyDescent="0.2">
      <c r="A4" s="86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96"/>
      <c r="Q4" s="83"/>
    </row>
    <row r="5" spans="1:17" ht="16" x14ac:dyDescent="0.2">
      <c r="A5" s="90" t="s">
        <v>168</v>
      </c>
      <c r="B5" s="91"/>
      <c r="C5" s="97">
        <f>C6</f>
        <v>579242798.99894297</v>
      </c>
      <c r="D5" s="97">
        <f>C6+D6</f>
        <v>579242798.99894297</v>
      </c>
      <c r="E5" s="97">
        <f>D5+E6</f>
        <v>579242798.99894297</v>
      </c>
      <c r="F5" s="97">
        <f>E5+F6</f>
        <v>579242798.99894297</v>
      </c>
      <c r="G5" s="97">
        <f>F5+G6</f>
        <v>579242798.99894297</v>
      </c>
      <c r="H5" s="97">
        <f>G5+H6</f>
        <v>579242798.99894297</v>
      </c>
      <c r="I5" s="86"/>
      <c r="J5" s="86"/>
      <c r="K5" s="97">
        <f>H5+K6</f>
        <v>693299660.656142</v>
      </c>
      <c r="L5" s="97">
        <f>K5+L6</f>
        <v>693299660.656142</v>
      </c>
      <c r="M5" s="97">
        <f>L5+M6</f>
        <v>693299660.656142</v>
      </c>
      <c r="N5" s="97">
        <f>M5+N6</f>
        <v>693299660.656142</v>
      </c>
      <c r="O5" s="97">
        <f>N5+O6</f>
        <v>693299660.656142</v>
      </c>
      <c r="P5" s="98"/>
      <c r="Q5" s="99"/>
    </row>
    <row r="6" spans="1:17" ht="16" x14ac:dyDescent="0.2">
      <c r="A6" s="95" t="s">
        <v>169</v>
      </c>
      <c r="B6" s="86"/>
      <c r="C6" s="399">
        <f>'INPUT DATA  Assumptions'!C10</f>
        <v>579242798.99894297</v>
      </c>
      <c r="D6" s="399">
        <f>'INPUT DATA  Assumptions'!D10</f>
        <v>0</v>
      </c>
      <c r="E6" s="399">
        <f>'INPUT DATA  Assumptions'!E10</f>
        <v>0</v>
      </c>
      <c r="F6" s="399">
        <f>'INPUT DATA  Assumptions'!F10</f>
        <v>0</v>
      </c>
      <c r="G6" s="399">
        <f>'INPUT DATA  Assumptions'!G10</f>
        <v>0</v>
      </c>
      <c r="H6" s="399">
        <f>'INPUT DATA  Assumptions'!H10</f>
        <v>0</v>
      </c>
      <c r="I6" s="86"/>
      <c r="J6" s="86"/>
      <c r="K6" s="97">
        <f>'INPUT DATA  Assumptions'!I10</f>
        <v>114056861.65719908</v>
      </c>
      <c r="L6" s="97">
        <f>'INPUT DATA  Assumptions'!J10</f>
        <v>0</v>
      </c>
      <c r="M6" s="97">
        <f>'INPUT DATA  Assumptions'!K10</f>
        <v>0</v>
      </c>
      <c r="N6" s="97">
        <f>'INPUT DATA  Assumptions'!L10</f>
        <v>0</v>
      </c>
      <c r="O6" s="97">
        <f>'INPUT DATA  Assumptions'!M10</f>
        <v>0</v>
      </c>
      <c r="P6" s="98"/>
      <c r="Q6" s="99"/>
    </row>
    <row r="7" spans="1:17" ht="16" x14ac:dyDescent="0.2">
      <c r="A7" s="90" t="s">
        <v>170</v>
      </c>
      <c r="B7" s="91"/>
      <c r="C7" s="97">
        <f>'DEPRCTN SCHED'!E36</f>
        <v>62597650.127999775</v>
      </c>
      <c r="D7" s="97">
        <f>'DEPRCTN SCHED'!F36</f>
        <v>85767362.087957501</v>
      </c>
      <c r="E7" s="97">
        <f>'DEPRCTN SCHED'!G36</f>
        <v>108937074.04791522</v>
      </c>
      <c r="F7" s="97">
        <f>'DEPRCTN SCHED'!H36</f>
        <v>132106786.00787294</v>
      </c>
      <c r="G7" s="97">
        <f>'DEPRCTN SCHED'!I36</f>
        <v>155276497.96783066</v>
      </c>
      <c r="H7" s="97">
        <f>'DEPRCTN SCHED'!J36</f>
        <v>178446209.92778838</v>
      </c>
      <c r="I7" s="86"/>
      <c r="J7" s="86"/>
      <c r="K7" s="97">
        <f>'DEPRCTN SCHED'!K36</f>
        <v>206178196.35403407</v>
      </c>
      <c r="L7" s="97">
        <f>'DEPRCTN SCHED'!L36</f>
        <v>233910182.78027976</v>
      </c>
      <c r="M7" s="97">
        <f>'DEPRCTN SCHED'!M36</f>
        <v>261642169.20652544</v>
      </c>
      <c r="N7" s="97">
        <f>'DEPRCTN SCHED'!N36</f>
        <v>289374155.63277113</v>
      </c>
      <c r="O7" s="97">
        <f>'DEPRCTN SCHED'!O36</f>
        <v>317106142.05901682</v>
      </c>
      <c r="P7" s="98"/>
      <c r="Q7" s="99"/>
    </row>
    <row r="8" spans="1:17" ht="16" x14ac:dyDescent="0.2">
      <c r="A8" s="95" t="s">
        <v>370</v>
      </c>
      <c r="B8" s="86"/>
      <c r="C8" s="97">
        <f>C5-C7</f>
        <v>516645148.87094319</v>
      </c>
      <c r="D8" s="97">
        <f t="shared" ref="D8:H8" si="0">D5-D7</f>
        <v>493475436.91098547</v>
      </c>
      <c r="E8" s="97">
        <f t="shared" si="0"/>
        <v>470305724.95102775</v>
      </c>
      <c r="F8" s="97">
        <f t="shared" si="0"/>
        <v>447136012.99107003</v>
      </c>
      <c r="G8" s="97">
        <f t="shared" si="0"/>
        <v>423966301.03111231</v>
      </c>
      <c r="H8" s="97">
        <f t="shared" si="0"/>
        <v>400796589.07115459</v>
      </c>
      <c r="I8" s="86"/>
      <c r="J8" s="86"/>
      <c r="K8" s="97">
        <f>K5-K7</f>
        <v>487121464.30210793</v>
      </c>
      <c r="L8" s="97">
        <f t="shared" ref="L8:O8" si="1">L5-L7</f>
        <v>459389477.87586224</v>
      </c>
      <c r="M8" s="97">
        <f t="shared" si="1"/>
        <v>431657491.44961655</v>
      </c>
      <c r="N8" s="97">
        <f t="shared" si="1"/>
        <v>403925505.02337086</v>
      </c>
      <c r="O8" s="97">
        <f t="shared" si="1"/>
        <v>376193518.59712517</v>
      </c>
      <c r="P8" s="98"/>
      <c r="Q8" s="99"/>
    </row>
    <row r="9" spans="1:17" ht="16" x14ac:dyDescent="0.2">
      <c r="A9" s="90"/>
      <c r="B9" s="91"/>
      <c r="C9" s="97" t="s">
        <v>135</v>
      </c>
      <c r="D9" s="87"/>
      <c r="E9" s="87"/>
      <c r="F9" s="87"/>
      <c r="G9" s="87"/>
      <c r="H9" s="87"/>
      <c r="I9" s="86"/>
      <c r="J9" s="86"/>
      <c r="K9" s="87"/>
      <c r="L9" s="87"/>
      <c r="M9" s="87"/>
      <c r="N9" s="87"/>
      <c r="O9" s="87"/>
      <c r="P9" s="96"/>
      <c r="Q9" s="83"/>
    </row>
    <row r="10" spans="1:17" ht="16" x14ac:dyDescent="0.2">
      <c r="A10" s="95" t="s">
        <v>171</v>
      </c>
      <c r="B10" s="86"/>
      <c r="C10" s="87"/>
      <c r="D10" s="87"/>
      <c r="E10" s="87"/>
      <c r="F10" s="87"/>
      <c r="G10" s="87"/>
      <c r="H10" s="87"/>
      <c r="I10" s="86"/>
      <c r="J10" s="86"/>
      <c r="K10" s="87"/>
      <c r="L10" s="87"/>
      <c r="M10" s="87"/>
      <c r="N10" s="87"/>
      <c r="O10" s="87"/>
      <c r="P10" s="96"/>
      <c r="Q10" s="83"/>
    </row>
    <row r="11" spans="1:17" ht="16" x14ac:dyDescent="0.2">
      <c r="A11" s="90" t="s">
        <v>172</v>
      </c>
      <c r="B11" s="91"/>
      <c r="C11" s="87"/>
      <c r="D11" s="92">
        <f>OPEX!E35</f>
        <v>266854479.77779043</v>
      </c>
      <c r="E11" s="92">
        <f>OPEX!F35</f>
        <v>233682598.69501808</v>
      </c>
      <c r="F11" s="92">
        <f>OPEX!G35</f>
        <v>241784175.0798068</v>
      </c>
      <c r="G11" s="92">
        <f>OPEX!H35</f>
        <v>250331635.14579698</v>
      </c>
      <c r="H11" s="92">
        <f>OPEX!I35</f>
        <v>259353024.03425559</v>
      </c>
      <c r="I11" s="86"/>
      <c r="J11" s="86"/>
      <c r="K11" s="92">
        <f>OPEX!J35</f>
        <v>309865209.97551996</v>
      </c>
      <c r="L11" s="92">
        <f>OPEX!K35</f>
        <v>320071546.11759859</v>
      </c>
      <c r="M11" s="92">
        <f>OPEX!L35</f>
        <v>330830569.57471675</v>
      </c>
      <c r="N11" s="92">
        <f>OPEX!M35</f>
        <v>342176824.95468605</v>
      </c>
      <c r="O11" s="92">
        <f>OPEX!N35</f>
        <v>354147169.76447511</v>
      </c>
      <c r="P11" s="93"/>
      <c r="Q11" s="94"/>
    </row>
    <row r="12" spans="1:17" ht="16" x14ac:dyDescent="0.2">
      <c r="A12" s="95" t="s">
        <v>364</v>
      </c>
      <c r="B12" s="86"/>
      <c r="C12" s="87"/>
      <c r="D12" s="92">
        <f>OPEX!E42</f>
        <v>0</v>
      </c>
      <c r="E12" s="92">
        <f>OPEX!F42</f>
        <v>0</v>
      </c>
      <c r="F12" s="92">
        <f>OPEX!G42</f>
        <v>0</v>
      </c>
      <c r="G12" s="92">
        <f>OPEX!H42</f>
        <v>0</v>
      </c>
      <c r="H12" s="92">
        <f>OPEX!I42</f>
        <v>0</v>
      </c>
      <c r="I12" s="86"/>
      <c r="J12" s="86"/>
      <c r="K12" s="92">
        <f>OPEX!J42</f>
        <v>0</v>
      </c>
      <c r="L12" s="92">
        <f>OPEX!K42</f>
        <v>0</v>
      </c>
      <c r="M12" s="92">
        <f>OPEX!L42</f>
        <v>0</v>
      </c>
      <c r="N12" s="92">
        <f>OPEX!M42</f>
        <v>0</v>
      </c>
      <c r="O12" s="92">
        <f>OPEX!N42</f>
        <v>0</v>
      </c>
      <c r="P12" s="93"/>
      <c r="Q12" s="94"/>
    </row>
    <row r="13" spans="1:17" ht="16" x14ac:dyDescent="0.2">
      <c r="A13" s="90" t="s">
        <v>173</v>
      </c>
      <c r="B13" s="91"/>
      <c r="C13" s="97" t="s">
        <v>135</v>
      </c>
      <c r="D13" s="92">
        <f>OPEX!E39</f>
        <v>23169711.959957719</v>
      </c>
      <c r="E13" s="92">
        <f>OPEX!F39</f>
        <v>23169711.959957719</v>
      </c>
      <c r="F13" s="92">
        <f>OPEX!G39</f>
        <v>23169711.959957719</v>
      </c>
      <c r="G13" s="92">
        <f>OPEX!H39</f>
        <v>23169711.959957719</v>
      </c>
      <c r="H13" s="92">
        <f>OPEX!I39</f>
        <v>23169711.959957719</v>
      </c>
      <c r="I13" s="86"/>
      <c r="J13" s="86"/>
      <c r="K13" s="92">
        <f>OPEX!J39</f>
        <v>27731986.426245682</v>
      </c>
      <c r="L13" s="92">
        <f>OPEX!K39</f>
        <v>27731986.426245682</v>
      </c>
      <c r="M13" s="92">
        <f>OPEX!L39</f>
        <v>27731986.426245682</v>
      </c>
      <c r="N13" s="92">
        <f>OPEX!M39</f>
        <v>27731986.426245682</v>
      </c>
      <c r="O13" s="92">
        <f>OPEX!N39</f>
        <v>27731986.426245682</v>
      </c>
      <c r="P13" s="93"/>
      <c r="Q13" s="94"/>
    </row>
    <row r="14" spans="1:17" ht="16" x14ac:dyDescent="0.2">
      <c r="A14" s="95" t="s">
        <v>174</v>
      </c>
      <c r="B14" s="86"/>
      <c r="C14" s="87"/>
      <c r="D14" s="100">
        <f>OPEX!E37</f>
        <v>44475746.629631735</v>
      </c>
      <c r="E14" s="100">
        <f>OPEX!F37</f>
        <v>38947099.782503016</v>
      </c>
      <c r="F14" s="100">
        <f>OPEX!G37</f>
        <v>40297362.513301134</v>
      </c>
      <c r="G14" s="100">
        <f>OPEX!H37</f>
        <v>41721939.190966167</v>
      </c>
      <c r="H14" s="100">
        <f>OPEX!I37</f>
        <v>43225504.005709268</v>
      </c>
      <c r="I14" s="86"/>
      <c r="J14" s="86"/>
      <c r="K14" s="100">
        <f>OPEX!J37</f>
        <v>51644201.662586659</v>
      </c>
      <c r="L14" s="100">
        <f>OPEX!K37</f>
        <v>53345257.68626643</v>
      </c>
      <c r="M14" s="100">
        <f>OPEX!L37</f>
        <v>55138428.262452789</v>
      </c>
      <c r="N14" s="100">
        <f>OPEX!M37</f>
        <v>57029470.82578101</v>
      </c>
      <c r="O14" s="100">
        <f>OPEX!N37</f>
        <v>59024528.294079185</v>
      </c>
      <c r="P14" s="101"/>
      <c r="Q14" s="102"/>
    </row>
    <row r="15" spans="1:17" ht="16" x14ac:dyDescent="0.2">
      <c r="A15" s="90" t="s">
        <v>175</v>
      </c>
      <c r="B15" s="91"/>
      <c r="C15" s="87"/>
      <c r="D15" s="100">
        <f>'INPUT DATA  Assumptions'!C39*'INPUT DATA  Assumptions'!B42</f>
        <v>0</v>
      </c>
      <c r="E15" s="100">
        <f>'INPUT DATA  Assumptions'!D39*'INPUT DATA  Assumptions'!C42</f>
        <v>0</v>
      </c>
      <c r="F15" s="100">
        <f>'INPUT DATA  Assumptions'!E39*'INPUT DATA  Assumptions'!D42</f>
        <v>0</v>
      </c>
      <c r="G15" s="100">
        <f>'INPUT DATA  Assumptions'!F39*'INPUT DATA  Assumptions'!E42</f>
        <v>0</v>
      </c>
      <c r="H15" s="100">
        <f>'INPUT DATA  Assumptions'!G39*'INPUT DATA  Assumptions'!F42</f>
        <v>0</v>
      </c>
      <c r="I15" s="86"/>
      <c r="J15" s="86"/>
      <c r="K15" s="100">
        <f>'INPUT DATA  Assumptions'!I39*'INPUT DATA  Assumptions'!I42</f>
        <v>0</v>
      </c>
      <c r="L15" s="100">
        <f>K15</f>
        <v>0</v>
      </c>
      <c r="M15" s="100">
        <f t="shared" ref="M15:O15" si="2">L15</f>
        <v>0</v>
      </c>
      <c r="N15" s="100">
        <f t="shared" si="2"/>
        <v>0</v>
      </c>
      <c r="O15" s="100">
        <f t="shared" si="2"/>
        <v>0</v>
      </c>
      <c r="P15" s="101"/>
      <c r="Q15" s="102"/>
    </row>
    <row r="16" spans="1:17" ht="16" x14ac:dyDescent="0.2">
      <c r="A16" s="95" t="s">
        <v>154</v>
      </c>
      <c r="B16" s="86"/>
      <c r="C16" s="100">
        <v>0</v>
      </c>
      <c r="D16" s="100">
        <f>SUM(D11:D15)</f>
        <v>334499938.3673799</v>
      </c>
      <c r="E16" s="100">
        <f t="shared" ref="E16:H16" si="3">SUM(E11:E15)</f>
        <v>295799410.43747884</v>
      </c>
      <c r="F16" s="100">
        <f t="shared" si="3"/>
        <v>305251249.55306566</v>
      </c>
      <c r="G16" s="100">
        <f t="shared" si="3"/>
        <v>315223286.29672092</v>
      </c>
      <c r="H16" s="100">
        <f t="shared" si="3"/>
        <v>325748239.99992263</v>
      </c>
      <c r="I16" s="86"/>
      <c r="J16" s="86"/>
      <c r="K16" s="100">
        <f>SUM(K11:K15)</f>
        <v>389241398.06435227</v>
      </c>
      <c r="L16" s="100">
        <f t="shared" ref="L16:O16" si="4">SUM(L11:L15)</f>
        <v>401148790.2301107</v>
      </c>
      <c r="M16" s="100">
        <f t="shared" si="4"/>
        <v>413700984.26341522</v>
      </c>
      <c r="N16" s="100">
        <f t="shared" si="4"/>
        <v>426938282.20671272</v>
      </c>
      <c r="O16" s="100">
        <f t="shared" si="4"/>
        <v>440903684.48479998</v>
      </c>
      <c r="P16" s="101"/>
      <c r="Q16" s="102"/>
    </row>
    <row r="17" spans="1:17" ht="16" x14ac:dyDescent="0.2">
      <c r="A17" s="90"/>
      <c r="B17" s="91"/>
      <c r="C17" s="87"/>
      <c r="D17" s="87" t="s">
        <v>135</v>
      </c>
      <c r="E17" s="87"/>
      <c r="F17" s="87"/>
      <c r="G17" s="87"/>
      <c r="H17" s="87"/>
      <c r="I17" s="86"/>
      <c r="J17" s="86"/>
      <c r="K17" s="87" t="s">
        <v>135</v>
      </c>
      <c r="L17" s="87"/>
      <c r="M17" s="87"/>
      <c r="N17" s="87"/>
      <c r="O17" s="87"/>
      <c r="P17" s="96"/>
      <c r="Q17" s="83"/>
    </row>
    <row r="18" spans="1:17" ht="16" x14ac:dyDescent="0.2">
      <c r="A18" s="95" t="s">
        <v>176</v>
      </c>
      <c r="B18" s="86"/>
      <c r="C18" s="97">
        <v>0</v>
      </c>
      <c r="D18" s="97">
        <f>D8*'INPUT DATA  Assumptions'!$B$47</f>
        <v>0</v>
      </c>
      <c r="E18" s="97">
        <f>E8*'INPUT DATA  Assumptions'!$B$47</f>
        <v>0</v>
      </c>
      <c r="F18" s="97">
        <f>F8*'INPUT DATA  Assumptions'!$B$47</f>
        <v>0</v>
      </c>
      <c r="G18" s="97">
        <f>G8*'INPUT DATA  Assumptions'!$B$47</f>
        <v>0</v>
      </c>
      <c r="H18" s="97">
        <f>H8*'INPUT DATA  Assumptions'!$B$47</f>
        <v>0</v>
      </c>
      <c r="I18" s="103" t="s">
        <v>135</v>
      </c>
      <c r="J18" s="103"/>
      <c r="K18" s="97">
        <f>K8*'INPUT DATA  Assumptions'!$I$47</f>
        <v>0</v>
      </c>
      <c r="L18" s="97">
        <f>L8*'INPUT DATA  Assumptions'!$I$47</f>
        <v>0</v>
      </c>
      <c r="M18" s="97">
        <f>M8*'INPUT DATA  Assumptions'!$I$47</f>
        <v>0</v>
      </c>
      <c r="N18" s="97">
        <f>N8*'INPUT DATA  Assumptions'!$I$47</f>
        <v>0</v>
      </c>
      <c r="O18" s="97">
        <f>O8*'INPUT DATA  Assumptions'!$I$47</f>
        <v>0</v>
      </c>
      <c r="P18" s="98"/>
      <c r="Q18" s="99"/>
    </row>
    <row r="19" spans="1:17" ht="16" x14ac:dyDescent="0.2">
      <c r="A19" s="90" t="s">
        <v>177</v>
      </c>
      <c r="B19" s="91"/>
      <c r="C19" s="97">
        <f>C16+C18</f>
        <v>0</v>
      </c>
      <c r="D19" s="97">
        <f>D16+D18</f>
        <v>334499938.3673799</v>
      </c>
      <c r="E19" s="97">
        <f t="shared" ref="E19:H19" si="5">E16+E18</f>
        <v>295799410.43747884</v>
      </c>
      <c r="F19" s="97">
        <f t="shared" si="5"/>
        <v>305251249.55306566</v>
      </c>
      <c r="G19" s="97">
        <f t="shared" si="5"/>
        <v>315223286.29672092</v>
      </c>
      <c r="H19" s="97">
        <f t="shared" si="5"/>
        <v>325748239.99992263</v>
      </c>
      <c r="I19" s="86"/>
      <c r="J19" s="86"/>
      <c r="K19" s="97">
        <f>K16+K18</f>
        <v>389241398.06435227</v>
      </c>
      <c r="L19" s="97">
        <f t="shared" ref="L19:O19" si="6">L16+L18</f>
        <v>401148790.2301107</v>
      </c>
      <c r="M19" s="97">
        <f t="shared" si="6"/>
        <v>413700984.26341522</v>
      </c>
      <c r="N19" s="97">
        <f t="shared" si="6"/>
        <v>426938282.20671272</v>
      </c>
      <c r="O19" s="97">
        <f t="shared" si="6"/>
        <v>440903684.48479998</v>
      </c>
      <c r="P19" s="98"/>
      <c r="Q19" s="99"/>
    </row>
    <row r="20" spans="1:17" ht="16" x14ac:dyDescent="0.2">
      <c r="A20" s="95"/>
      <c r="B20" s="86"/>
      <c r="C20" s="87"/>
      <c r="D20" s="87"/>
      <c r="E20" s="87"/>
      <c r="F20" s="87"/>
      <c r="G20" s="87"/>
      <c r="H20" s="87"/>
      <c r="I20" s="86"/>
      <c r="J20" s="86"/>
      <c r="K20" s="87"/>
      <c r="L20" s="87"/>
      <c r="M20" s="87"/>
      <c r="N20" s="87"/>
      <c r="O20" s="87"/>
      <c r="P20" s="96"/>
      <c r="Q20" s="83"/>
    </row>
    <row r="21" spans="1:17" ht="16" x14ac:dyDescent="0.2">
      <c r="A21" s="90" t="s">
        <v>178</v>
      </c>
      <c r="B21" s="91"/>
      <c r="C21" s="87"/>
      <c r="D21" s="92">
        <f>'INPUT DATA  Assumptions'!D5+'INPUT DATA  Assumptions'!D6+'INPUT DATA  Assumptions'!D7</f>
        <v>15247187.847318565</v>
      </c>
      <c r="E21" s="92">
        <f>'INPUT DATA  Assumptions'!E5+'INPUT DATA  Assumptions'!E6+'INPUT DATA  Assumptions'!E7</f>
        <v>14306028.499049827</v>
      </c>
      <c r="F21" s="92">
        <f>'INPUT DATA  Assumptions'!F5+'INPUT DATA  Assumptions'!F6+'INPUT DATA  Assumptions'!F7</f>
        <v>14495453.694197875</v>
      </c>
      <c r="G21" s="92">
        <f>'INPUT DATA  Assumptions'!G5+'INPUT DATA  Assumptions'!G6+'INPUT DATA  Assumptions'!G7</f>
        <v>14689219.086873468</v>
      </c>
      <c r="H21" s="92">
        <f>'INPUT DATA  Assumptions'!H5+'INPUT DATA  Assumptions'!H6+'INPUT DATA  Assumptions'!H7</f>
        <v>14887515.514273994</v>
      </c>
      <c r="I21" s="86"/>
      <c r="J21" s="86"/>
      <c r="K21" s="92">
        <f>'INPUT DATA  Assumptions'!I5+'INPUT DATA  Assumptions'!I6+'INPUT DATA  Assumptions'!I7</f>
        <v>15089949.051037967</v>
      </c>
      <c r="L21" s="92">
        <f>'INPUT DATA  Assumptions'!J5+'INPUT DATA  Assumptions'!J6+'INPUT DATA  Assumptions'!J7</f>
        <v>15281363.023062833</v>
      </c>
      <c r="M21" s="92">
        <f>'INPUT DATA  Assumptions'!K5+'INPUT DATA  Assumptions'!K6+'INPUT DATA  Assumptions'!K7</f>
        <v>15477487.262271665</v>
      </c>
      <c r="N21" s="92">
        <f>'INPUT DATA  Assumptions'!L5+'INPUT DATA  Assumptions'!L6+'INPUT DATA  Assumptions'!L7</f>
        <v>15678562.913950438</v>
      </c>
      <c r="O21" s="92">
        <f>'INPUT DATA  Assumptions'!M5+'INPUT DATA  Assumptions'!M6+'INPUT DATA  Assumptions'!M7</f>
        <v>15884849.408363752</v>
      </c>
      <c r="P21" s="93"/>
      <c r="Q21" s="94"/>
    </row>
    <row r="22" spans="1:17" ht="16" x14ac:dyDescent="0.2">
      <c r="A22" s="90" t="s">
        <v>179</v>
      </c>
      <c r="B22" s="91"/>
      <c r="C22" s="87"/>
      <c r="D22" s="104">
        <f>D19/D21</f>
        <v>21.938467717258856</v>
      </c>
      <c r="E22" s="104">
        <f t="shared" ref="E22:H22" si="7">E19/E21</f>
        <v>20.676556771652255</v>
      </c>
      <c r="F22" s="104">
        <f t="shared" si="7"/>
        <v>21.058412933653067</v>
      </c>
      <c r="G22" s="104">
        <f t="shared" si="7"/>
        <v>21.459499271708033</v>
      </c>
      <c r="H22" s="104">
        <f t="shared" si="7"/>
        <v>21.880631438308068</v>
      </c>
      <c r="I22" s="86"/>
      <c r="J22" s="86"/>
      <c r="K22" s="104">
        <f>K19/K21</f>
        <v>25.794745677923821</v>
      </c>
      <c r="L22" s="104">
        <f t="shared" ref="L22:O22" si="8">L19/L21</f>
        <v>26.250851421086701</v>
      </c>
      <c r="M22" s="104">
        <f t="shared" si="8"/>
        <v>26.729208511246121</v>
      </c>
      <c r="N22" s="104">
        <f t="shared" si="8"/>
        <v>27.230702491669852</v>
      </c>
      <c r="O22" s="104">
        <f t="shared" si="8"/>
        <v>27.756239492749216</v>
      </c>
      <c r="P22" s="105"/>
      <c r="Q22" s="106"/>
    </row>
    <row r="23" spans="1:17" ht="16" x14ac:dyDescent="0.2">
      <c r="A23" s="86"/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96"/>
      <c r="Q23" s="83"/>
    </row>
    <row r="24" spans="1:17" ht="16" x14ac:dyDescent="0.2">
      <c r="A24" s="86"/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96"/>
      <c r="Q24" s="83"/>
    </row>
    <row r="25" spans="1:17" ht="16" x14ac:dyDescent="0.2">
      <c r="A25" s="86"/>
      <c r="B25" s="86"/>
      <c r="C25" s="86"/>
      <c r="D25" s="419" t="s">
        <v>180</v>
      </c>
      <c r="E25" s="419"/>
      <c r="F25" s="419"/>
      <c r="G25" s="419"/>
      <c r="H25" s="419"/>
      <c r="I25" s="86" t="s">
        <v>135</v>
      </c>
      <c r="J25" s="86"/>
      <c r="K25" s="419" t="s">
        <v>180</v>
      </c>
      <c r="L25" s="419"/>
      <c r="M25" s="419"/>
      <c r="N25" s="419"/>
      <c r="O25" s="419"/>
      <c r="P25" s="96"/>
      <c r="Q25" s="83"/>
    </row>
    <row r="26" spans="1:17" ht="16" x14ac:dyDescent="0.2">
      <c r="A26" s="90" t="s">
        <v>181</v>
      </c>
      <c r="B26" s="107"/>
      <c r="C26" s="108"/>
      <c r="D26" s="109" t="s">
        <v>182</v>
      </c>
      <c r="E26" s="110" t="s">
        <v>183</v>
      </c>
      <c r="F26" s="110" t="s">
        <v>184</v>
      </c>
      <c r="G26" s="110" t="s">
        <v>185</v>
      </c>
      <c r="H26" s="110" t="s">
        <v>186</v>
      </c>
      <c r="I26" s="111" t="s">
        <v>187</v>
      </c>
      <c r="J26" s="112"/>
      <c r="K26" s="110" t="s">
        <v>182</v>
      </c>
      <c r="L26" s="110" t="s">
        <v>183</v>
      </c>
      <c r="M26" s="110" t="s">
        <v>184</v>
      </c>
      <c r="N26" s="110" t="s">
        <v>185</v>
      </c>
      <c r="O26" s="110" t="s">
        <v>186</v>
      </c>
      <c r="P26" s="111" t="s">
        <v>187</v>
      </c>
      <c r="Q26" s="83"/>
    </row>
    <row r="27" spans="1:17" ht="16" x14ac:dyDescent="0.2">
      <c r="A27" s="90" t="s">
        <v>135</v>
      </c>
      <c r="B27" s="90" t="s">
        <v>135</v>
      </c>
      <c r="C27" s="87"/>
      <c r="D27" s="109"/>
      <c r="E27" s="110"/>
      <c r="F27" s="110"/>
      <c r="G27" s="110"/>
      <c r="H27" s="110"/>
      <c r="I27" s="113"/>
      <c r="J27" s="86"/>
      <c r="K27" s="110"/>
      <c r="L27" s="110"/>
      <c r="M27" s="110"/>
      <c r="N27" s="110"/>
      <c r="O27" s="110"/>
      <c r="P27" s="113"/>
      <c r="Q27" s="83"/>
    </row>
    <row r="28" spans="1:17" ht="16" x14ac:dyDescent="0.2">
      <c r="A28" s="90" t="s">
        <v>188</v>
      </c>
      <c r="B28" s="114" t="s">
        <v>135</v>
      </c>
      <c r="C28" s="115"/>
      <c r="D28" s="116">
        <f>D19/D21</f>
        <v>21.938467717258856</v>
      </c>
      <c r="E28" s="104">
        <f t="shared" ref="E28:H28" si="9">E19/E21</f>
        <v>20.676556771652255</v>
      </c>
      <c r="F28" s="104">
        <f t="shared" si="9"/>
        <v>21.058412933653067</v>
      </c>
      <c r="G28" s="104">
        <f t="shared" si="9"/>
        <v>21.459499271708033</v>
      </c>
      <c r="H28" s="104">
        <f t="shared" si="9"/>
        <v>21.880631438308068</v>
      </c>
      <c r="I28" s="117">
        <f>SUM(D28:H28)/5*10</f>
        <v>214.02713626516058</v>
      </c>
      <c r="J28" s="118"/>
      <c r="K28" s="104">
        <f>K19/K21</f>
        <v>25.794745677923821</v>
      </c>
      <c r="L28" s="104">
        <f t="shared" ref="L28:O28" si="10">L19/L21</f>
        <v>26.250851421086701</v>
      </c>
      <c r="M28" s="104">
        <f t="shared" si="10"/>
        <v>26.729208511246121</v>
      </c>
      <c r="N28" s="104">
        <f t="shared" si="10"/>
        <v>27.230702491669852</v>
      </c>
      <c r="O28" s="104">
        <f t="shared" si="10"/>
        <v>27.756239492749216</v>
      </c>
      <c r="P28" s="117">
        <f>SUM(K28:O28)/5*10</f>
        <v>267.52349518935142</v>
      </c>
      <c r="Q28" s="83"/>
    </row>
    <row r="29" spans="1:17" ht="16" x14ac:dyDescent="0.2">
      <c r="A29" s="90" t="s">
        <v>189</v>
      </c>
      <c r="B29" s="114"/>
      <c r="C29" s="115"/>
      <c r="D29" s="116">
        <f>D28*(1+$D$34)</f>
        <v>23.0353911031218</v>
      </c>
      <c r="E29" s="104">
        <f t="shared" ref="E29:H33" si="11">E28*(1+$D$34)</f>
        <v>21.710384610234868</v>
      </c>
      <c r="F29" s="104">
        <f t="shared" si="11"/>
        <v>22.111333580335721</v>
      </c>
      <c r="G29" s="104">
        <f t="shared" si="11"/>
        <v>22.532474235293435</v>
      </c>
      <c r="H29" s="104">
        <f t="shared" si="11"/>
        <v>22.974663010223473</v>
      </c>
      <c r="I29" s="117">
        <f>SUM(D29:H29)/5</f>
        <v>22.472849307841859</v>
      </c>
      <c r="J29" s="118"/>
      <c r="K29" s="104">
        <f>K28*(1+$K$34)</f>
        <v>27.084482961820012</v>
      </c>
      <c r="L29" s="104">
        <f t="shared" ref="L29:O33" si="12">L28*(1+$K$34)</f>
        <v>27.563393992141037</v>
      </c>
      <c r="M29" s="104">
        <f t="shared" si="12"/>
        <v>28.065668936808429</v>
      </c>
      <c r="N29" s="104">
        <f t="shared" si="12"/>
        <v>28.592237616253346</v>
      </c>
      <c r="O29" s="104">
        <f t="shared" si="12"/>
        <v>29.144051467386678</v>
      </c>
      <c r="P29" s="117">
        <f t="shared" ref="P29:P33" si="13">SUM(K29:O29)/5</f>
        <v>28.089966994881898</v>
      </c>
      <c r="Q29" s="83"/>
    </row>
    <row r="30" spans="1:17" ht="16" x14ac:dyDescent="0.2">
      <c r="A30" s="90" t="s">
        <v>190</v>
      </c>
      <c r="B30" s="114" t="s">
        <v>135</v>
      </c>
      <c r="C30" s="115"/>
      <c r="D30" s="116">
        <f t="shared" ref="D30:D33" si="14">D29*(1+$D$34)</f>
        <v>24.18716065827789</v>
      </c>
      <c r="E30" s="104">
        <f t="shared" si="11"/>
        <v>22.795903840746611</v>
      </c>
      <c r="F30" s="104">
        <f t="shared" si="11"/>
        <v>23.216900259352506</v>
      </c>
      <c r="G30" s="104">
        <f t="shared" si="11"/>
        <v>23.659097947058108</v>
      </c>
      <c r="H30" s="104">
        <f t="shared" si="11"/>
        <v>24.123396160734647</v>
      </c>
      <c r="I30" s="117">
        <f>SUM(D30:H30)/5</f>
        <v>23.596491773233954</v>
      </c>
      <c r="J30" s="118"/>
      <c r="K30" s="104">
        <f t="shared" ref="K30:K33" si="15">K29*(1+$K$34)</f>
        <v>28.438707109911014</v>
      </c>
      <c r="L30" s="104">
        <f t="shared" si="12"/>
        <v>28.94156369174809</v>
      </c>
      <c r="M30" s="104">
        <f t="shared" si="12"/>
        <v>29.468952383648851</v>
      </c>
      <c r="N30" s="104">
        <f t="shared" si="12"/>
        <v>30.021849497066015</v>
      </c>
      <c r="O30" s="104">
        <f t="shared" si="12"/>
        <v>30.601254040756015</v>
      </c>
      <c r="P30" s="117">
        <f t="shared" si="13"/>
        <v>29.494465344625997</v>
      </c>
      <c r="Q30" s="83"/>
    </row>
    <row r="31" spans="1:17" ht="16" x14ac:dyDescent="0.2">
      <c r="A31" s="90" t="s">
        <v>191</v>
      </c>
      <c r="B31" s="114" t="s">
        <v>135</v>
      </c>
      <c r="C31" s="115"/>
      <c r="D31" s="116">
        <f t="shared" si="14"/>
        <v>25.396518691191787</v>
      </c>
      <c r="E31" s="104">
        <f t="shared" si="11"/>
        <v>23.935699032783944</v>
      </c>
      <c r="F31" s="104">
        <f t="shared" si="11"/>
        <v>24.377745272320134</v>
      </c>
      <c r="G31" s="104">
        <f t="shared" si="11"/>
        <v>24.842052844411015</v>
      </c>
      <c r="H31" s="104">
        <f t="shared" si="11"/>
        <v>25.32956596877138</v>
      </c>
      <c r="I31" s="117">
        <f>SUM(D31:H31)/5</f>
        <v>24.776316361895653</v>
      </c>
      <c r="J31" s="118"/>
      <c r="K31" s="104">
        <f t="shared" si="15"/>
        <v>29.860642465406567</v>
      </c>
      <c r="L31" s="104">
        <f t="shared" si="12"/>
        <v>30.388641876335495</v>
      </c>
      <c r="M31" s="104">
        <f t="shared" si="12"/>
        <v>30.942400002831295</v>
      </c>
      <c r="N31" s="104">
        <f t="shared" si="12"/>
        <v>31.522941971919316</v>
      </c>
      <c r="O31" s="104">
        <f t="shared" si="12"/>
        <v>32.131316742793814</v>
      </c>
      <c r="P31" s="117">
        <f t="shared" si="13"/>
        <v>30.969188611857298</v>
      </c>
      <c r="Q31" s="83"/>
    </row>
    <row r="32" spans="1:17" ht="16" x14ac:dyDescent="0.2">
      <c r="A32" s="90" t="s">
        <v>192</v>
      </c>
      <c r="B32" s="114" t="s">
        <v>135</v>
      </c>
      <c r="C32" s="115"/>
      <c r="D32" s="116">
        <f t="shared" si="14"/>
        <v>26.666344625751378</v>
      </c>
      <c r="E32" s="104">
        <f t="shared" si="11"/>
        <v>25.132483984423143</v>
      </c>
      <c r="F32" s="104">
        <f t="shared" si="11"/>
        <v>25.596632535936141</v>
      </c>
      <c r="G32" s="104">
        <f t="shared" si="11"/>
        <v>26.084155486631566</v>
      </c>
      <c r="H32" s="104">
        <f t="shared" si="11"/>
        <v>26.596044267209951</v>
      </c>
      <c r="I32" s="117">
        <f>SUM(D32:H32)/5</f>
        <v>26.015132179990434</v>
      </c>
      <c r="J32" s="118"/>
      <c r="K32" s="104">
        <f t="shared" si="15"/>
        <v>31.353674588676895</v>
      </c>
      <c r="L32" s="104">
        <f t="shared" si="12"/>
        <v>31.90807397015227</v>
      </c>
      <c r="M32" s="104">
        <f t="shared" si="12"/>
        <v>32.48952000297286</v>
      </c>
      <c r="N32" s="104">
        <f t="shared" si="12"/>
        <v>33.099089070515284</v>
      </c>
      <c r="O32" s="104">
        <f t="shared" si="12"/>
        <v>33.737882579933505</v>
      </c>
      <c r="P32" s="117">
        <f t="shared" si="13"/>
        <v>32.517648042450162</v>
      </c>
      <c r="Q32" s="83"/>
    </row>
    <row r="33" spans="1:17" ht="16" x14ac:dyDescent="0.2">
      <c r="A33" s="90" t="s">
        <v>193</v>
      </c>
      <c r="B33" s="114" t="s">
        <v>135</v>
      </c>
      <c r="C33" s="115"/>
      <c r="D33" s="116">
        <f t="shared" si="14"/>
        <v>27.999661857038948</v>
      </c>
      <c r="E33" s="104">
        <f t="shared" si="11"/>
        <v>26.3891081836443</v>
      </c>
      <c r="F33" s="104">
        <f t="shared" si="11"/>
        <v>26.876464162732951</v>
      </c>
      <c r="G33" s="104">
        <f t="shared" si="11"/>
        <v>27.388363260963146</v>
      </c>
      <c r="H33" s="104">
        <f t="shared" si="11"/>
        <v>27.925846480570449</v>
      </c>
      <c r="I33" s="117">
        <f>SUM(D33:H33)/5</f>
        <v>27.315888788989959</v>
      </c>
      <c r="J33" s="118"/>
      <c r="K33" s="104">
        <f t="shared" si="15"/>
        <v>32.921358318110741</v>
      </c>
      <c r="L33" s="104">
        <f t="shared" si="12"/>
        <v>33.503477668659883</v>
      </c>
      <c r="M33" s="104">
        <f t="shared" si="12"/>
        <v>34.113996003121507</v>
      </c>
      <c r="N33" s="104">
        <f t="shared" si="12"/>
        <v>34.754043524041052</v>
      </c>
      <c r="O33" s="104">
        <f t="shared" si="12"/>
        <v>35.424776708930182</v>
      </c>
      <c r="P33" s="117">
        <f t="shared" si="13"/>
        <v>34.143530444572676</v>
      </c>
      <c r="Q33" s="83"/>
    </row>
    <row r="34" spans="1:17" ht="16" x14ac:dyDescent="0.2">
      <c r="A34" s="119" t="s">
        <v>194</v>
      </c>
      <c r="B34" s="119"/>
      <c r="C34" s="119"/>
      <c r="D34" s="120">
        <v>0.05</v>
      </c>
      <c r="E34" s="120">
        <f>D34</f>
        <v>0.05</v>
      </c>
      <c r="F34" s="120">
        <f t="shared" ref="F34:H34" si="16">E34</f>
        <v>0.05</v>
      </c>
      <c r="G34" s="120">
        <f t="shared" si="16"/>
        <v>0.05</v>
      </c>
      <c r="H34" s="120">
        <f t="shared" si="16"/>
        <v>0.05</v>
      </c>
      <c r="I34" s="86"/>
      <c r="J34" s="86"/>
      <c r="K34" s="120">
        <v>0.05</v>
      </c>
      <c r="L34" s="120">
        <v>0.05</v>
      </c>
      <c r="M34" s="120">
        <v>0.05</v>
      </c>
      <c r="N34" s="120">
        <v>0.05</v>
      </c>
      <c r="O34" s="120">
        <v>0.05</v>
      </c>
      <c r="P34" s="96"/>
      <c r="Q34" s="83"/>
    </row>
    <row r="35" spans="1:17" ht="16" x14ac:dyDescent="0.2">
      <c r="A35" s="119"/>
      <c r="B35" s="119"/>
      <c r="C35" s="119"/>
      <c r="D35" s="121">
        <f>D34/5</f>
        <v>0.01</v>
      </c>
      <c r="E35" s="121">
        <f t="shared" ref="E35:H35" si="17">E34/5</f>
        <v>0.01</v>
      </c>
      <c r="F35" s="121">
        <f t="shared" si="17"/>
        <v>0.01</v>
      </c>
      <c r="G35" s="121">
        <f t="shared" si="17"/>
        <v>0.01</v>
      </c>
      <c r="H35" s="121">
        <f t="shared" si="17"/>
        <v>0.01</v>
      </c>
      <c r="I35" s="86"/>
      <c r="J35" s="86"/>
      <c r="K35" s="121">
        <f>K34/5</f>
        <v>0.01</v>
      </c>
      <c r="L35" s="121">
        <f t="shared" ref="L35:O35" si="18">L34/5</f>
        <v>0.01</v>
      </c>
      <c r="M35" s="121">
        <f t="shared" si="18"/>
        <v>0.01</v>
      </c>
      <c r="N35" s="121">
        <f t="shared" si="18"/>
        <v>0.01</v>
      </c>
      <c r="O35" s="121">
        <f t="shared" si="18"/>
        <v>0.01</v>
      </c>
      <c r="P35" s="96"/>
      <c r="Q35" s="83"/>
    </row>
    <row r="36" spans="1:17" x14ac:dyDescent="0.2">
      <c r="I36" s="61" t="s">
        <v>135</v>
      </c>
    </row>
    <row r="37" spans="1:17" x14ac:dyDescent="0.2">
      <c r="I37" t="s">
        <v>135</v>
      </c>
    </row>
    <row r="38" spans="1:17" x14ac:dyDescent="0.2">
      <c r="I38" t="s">
        <v>135</v>
      </c>
    </row>
    <row r="39" spans="1:17" x14ac:dyDescent="0.2">
      <c r="I39" s="61" t="s">
        <v>135</v>
      </c>
    </row>
  </sheetData>
  <mergeCells count="5">
    <mergeCell ref="B2:H2"/>
    <mergeCell ref="K2:O2"/>
    <mergeCell ref="A3:B3"/>
    <mergeCell ref="D25:H25"/>
    <mergeCell ref="K25:O2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B8580-79DA-D548-979D-D9678B58C1D6}">
  <dimension ref="B3:I19"/>
  <sheetViews>
    <sheetView workbookViewId="0">
      <selection activeCell="E20" sqref="E20"/>
    </sheetView>
  </sheetViews>
  <sheetFormatPr baseColWidth="10" defaultRowHeight="15" x14ac:dyDescent="0.2"/>
  <cols>
    <col min="3" max="3" width="17.6640625" customWidth="1"/>
  </cols>
  <sheetData>
    <row r="3" spans="2:9" ht="20" x14ac:dyDescent="0.25">
      <c r="B3" s="405"/>
      <c r="C3" s="405"/>
      <c r="D3" s="405"/>
      <c r="E3" s="405"/>
      <c r="F3" s="405"/>
      <c r="G3" s="405"/>
      <c r="H3" s="405"/>
      <c r="I3" s="405"/>
    </row>
    <row r="4" spans="2:9" ht="20" x14ac:dyDescent="0.25">
      <c r="B4" s="405" t="s">
        <v>371</v>
      </c>
      <c r="C4" s="405"/>
      <c r="D4" s="406" t="s">
        <v>376</v>
      </c>
      <c r="E4" s="405" t="s">
        <v>377</v>
      </c>
      <c r="F4" s="405"/>
      <c r="G4" s="405"/>
      <c r="H4" s="405"/>
      <c r="I4" s="405"/>
    </row>
    <row r="5" spans="2:9" ht="20" x14ac:dyDescent="0.25">
      <c r="B5" s="405"/>
      <c r="C5" s="405"/>
      <c r="D5" s="405"/>
      <c r="E5" s="405"/>
      <c r="F5" s="405"/>
      <c r="G5" s="405"/>
      <c r="H5" s="405"/>
      <c r="I5" s="405"/>
    </row>
    <row r="6" spans="2:9" ht="20" x14ac:dyDescent="0.25">
      <c r="B6" s="405" t="s">
        <v>378</v>
      </c>
      <c r="C6" s="405"/>
      <c r="D6" s="406" t="s">
        <v>376</v>
      </c>
      <c r="E6" s="405" t="s">
        <v>379</v>
      </c>
      <c r="F6" s="405"/>
      <c r="G6" s="405"/>
      <c r="H6" s="405"/>
      <c r="I6" s="405"/>
    </row>
    <row r="7" spans="2:9" ht="20" x14ac:dyDescent="0.25">
      <c r="B7" s="405"/>
      <c r="C7" s="405"/>
      <c r="D7" s="405"/>
      <c r="E7" s="405"/>
      <c r="F7" s="405"/>
      <c r="G7" s="405"/>
      <c r="H7" s="405"/>
      <c r="I7" s="405"/>
    </row>
    <row r="8" spans="2:9" ht="20" x14ac:dyDescent="0.25">
      <c r="B8" s="405" t="s">
        <v>381</v>
      </c>
      <c r="C8" s="405"/>
      <c r="D8" s="406" t="s">
        <v>376</v>
      </c>
      <c r="E8" s="405" t="s">
        <v>380</v>
      </c>
      <c r="F8" s="405"/>
      <c r="G8" s="405"/>
      <c r="H8" s="405"/>
      <c r="I8" s="405"/>
    </row>
    <row r="9" spans="2:9" ht="20" x14ac:dyDescent="0.25">
      <c r="B9" s="405"/>
      <c r="C9" s="405"/>
      <c r="D9" s="405"/>
      <c r="E9" s="405"/>
      <c r="F9" s="405"/>
      <c r="G9" s="405"/>
      <c r="H9" s="405"/>
      <c r="I9" s="405"/>
    </row>
    <row r="10" spans="2:9" ht="20" x14ac:dyDescent="0.25">
      <c r="B10" s="405" t="s">
        <v>382</v>
      </c>
      <c r="C10" s="405"/>
      <c r="D10" s="406" t="s">
        <v>376</v>
      </c>
      <c r="E10" s="405" t="s">
        <v>383</v>
      </c>
      <c r="F10" s="405"/>
      <c r="G10" s="405"/>
      <c r="H10" s="405"/>
      <c r="I10" s="405"/>
    </row>
    <row r="11" spans="2:9" ht="20" x14ac:dyDescent="0.25">
      <c r="B11" s="405"/>
      <c r="C11" s="405"/>
      <c r="D11" s="407"/>
      <c r="E11" s="405"/>
      <c r="F11" s="405"/>
      <c r="G11" s="405"/>
      <c r="H11" s="405"/>
      <c r="I11" s="405"/>
    </row>
    <row r="12" spans="2:9" ht="20" x14ac:dyDescent="0.25">
      <c r="B12" s="405" t="s">
        <v>384</v>
      </c>
      <c r="C12" s="405"/>
      <c r="D12" s="406" t="s">
        <v>376</v>
      </c>
      <c r="E12" s="405" t="s">
        <v>385</v>
      </c>
      <c r="F12" s="405"/>
      <c r="G12" s="405"/>
      <c r="H12" s="405"/>
      <c r="I12" s="405"/>
    </row>
    <row r="13" spans="2:9" ht="20" x14ac:dyDescent="0.25">
      <c r="B13" s="405"/>
      <c r="C13" s="405"/>
      <c r="D13" s="407"/>
      <c r="E13" s="405"/>
      <c r="F13" s="405"/>
      <c r="G13" s="405"/>
      <c r="H13" s="405"/>
      <c r="I13" s="405"/>
    </row>
    <row r="14" spans="2:9" ht="20" x14ac:dyDescent="0.25">
      <c r="B14" s="405" t="s">
        <v>386</v>
      </c>
      <c r="C14" s="405"/>
      <c r="D14" s="406" t="s">
        <v>376</v>
      </c>
      <c r="E14" s="405" t="s">
        <v>387</v>
      </c>
      <c r="F14" s="405"/>
      <c r="G14" s="405"/>
      <c r="H14" s="405"/>
      <c r="I14" s="405"/>
    </row>
    <row r="15" spans="2:9" ht="20" x14ac:dyDescent="0.25">
      <c r="B15" s="405"/>
      <c r="C15" s="405"/>
      <c r="D15" s="407"/>
      <c r="E15" s="405"/>
      <c r="F15" s="405"/>
      <c r="G15" s="405"/>
      <c r="H15" s="405"/>
      <c r="I15" s="405"/>
    </row>
    <row r="16" spans="2:9" ht="20" x14ac:dyDescent="0.25">
      <c r="B16" s="405" t="s">
        <v>388</v>
      </c>
      <c r="C16" s="405"/>
      <c r="D16" s="406" t="s">
        <v>376</v>
      </c>
      <c r="E16" s="405" t="s">
        <v>389</v>
      </c>
      <c r="F16" s="405"/>
      <c r="G16" s="405"/>
      <c r="H16" s="405"/>
      <c r="I16" s="405"/>
    </row>
    <row r="17" spans="2:9" ht="20" x14ac:dyDescent="0.25">
      <c r="B17" s="405"/>
      <c r="C17" s="405"/>
      <c r="D17" s="405"/>
      <c r="E17" s="405"/>
      <c r="F17" s="405"/>
      <c r="G17" s="405"/>
      <c r="H17" s="405"/>
      <c r="I17" s="405"/>
    </row>
    <row r="18" spans="2:9" ht="20" x14ac:dyDescent="0.25">
      <c r="B18" s="405"/>
      <c r="C18" s="405"/>
      <c r="D18" s="405"/>
      <c r="E18" s="405"/>
      <c r="F18" s="405"/>
      <c r="G18" s="405"/>
      <c r="H18" s="405"/>
      <c r="I18" s="405"/>
    </row>
    <row r="19" spans="2:9" ht="20" x14ac:dyDescent="0.25">
      <c r="B19" s="405"/>
      <c r="C19" s="405"/>
      <c r="D19" s="405"/>
      <c r="E19" s="405"/>
      <c r="F19" s="405"/>
      <c r="G19" s="405"/>
      <c r="H19" s="405"/>
      <c r="I19" s="40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GUIDE SHEET</vt:lpstr>
      <vt:lpstr>BOHOL DEMAND PROJECTION</vt:lpstr>
      <vt:lpstr>Tagbilaran CAPEX&amp;OPEX_realistic</vt:lpstr>
      <vt:lpstr>INPUT DATA  Assumptions</vt:lpstr>
      <vt:lpstr>OPEX</vt:lpstr>
      <vt:lpstr>DEPRCTN SCHED</vt:lpstr>
      <vt:lpstr>AMORT SCHED</vt:lpstr>
      <vt:lpstr>TARIFF CALC</vt:lpstr>
      <vt:lpstr>FORMULA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JOCELYN VILLAMAYOR</dc:creator>
  <cp:lastModifiedBy>JOCELYN VILLAMAYOR</cp:lastModifiedBy>
  <dcterms:created xsi:type="dcterms:W3CDTF">2025-11-04T15:18:37Z</dcterms:created>
  <dcterms:modified xsi:type="dcterms:W3CDTF">2025-11-11T14:08:13Z</dcterms:modified>
</cp:coreProperties>
</file>